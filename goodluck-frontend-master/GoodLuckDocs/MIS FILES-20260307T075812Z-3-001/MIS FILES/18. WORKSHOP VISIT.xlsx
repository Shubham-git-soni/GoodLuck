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ukta\Sharing folder2\2025-26\KANAV SIR\MIS FILES\"/>
    </mc:Choice>
  </mc:AlternateContent>
  <xr:revisionPtr revIDLastSave="0" documentId="13_ncr:1_{35666BAE-9AA1-4833-B8F5-E806C5B257ED}" xr6:coauthVersionLast="36" xr6:coauthVersionMax="36" xr10:uidLastSave="{00000000-0000-0000-0000-000000000000}"/>
  <bookViews>
    <workbookView xWindow="-270" yWindow="-150" windowWidth="15480" windowHeight="8880" tabRatio="949" firstSheet="12" activeTab="12" xr2:uid="{00000000-000D-0000-FFFF-FFFF00000000}"/>
  </bookViews>
  <sheets>
    <sheet name="ARIYALUR" sheetId="2" state="hidden" r:id="rId1"/>
    <sheet name="DINDIGUL" sheetId="21" state="hidden" r:id="rId2"/>
    <sheet name="KARUR" sheetId="23" state="hidden" r:id="rId3"/>
    <sheet name="MAYILADUTHURAI" sheetId="25" state="hidden" r:id="rId4"/>
    <sheet name="NAGAPATTINUM" sheetId="27" state="hidden" r:id="rId5"/>
    <sheet name="THANJUR" sheetId="26" state="hidden" r:id="rId6"/>
    <sheet name="TIRUCHIRAPPALLI" sheetId="28" state="hidden" r:id="rId7"/>
    <sheet name="PUDUKKOTTAI" sheetId="29" state="hidden" r:id="rId8"/>
    <sheet name="KUMBAKONAM" sheetId="24" state="hidden" r:id="rId9"/>
    <sheet name="KARAIKAL " sheetId="22" state="hidden" r:id="rId10"/>
    <sheet name="SUMMARY" sheetId="9" state="hidden" r:id="rId11"/>
    <sheet name="Q. BANK " sheetId="30" state="hidden" r:id="rId12"/>
    <sheet name="WORKSHOP" sheetId="34" r:id="rId13"/>
    <sheet name="I.P. SUMMARY " sheetId="18" state="hidden" r:id="rId14"/>
    <sheet name="SHORT I.P. " sheetId="19" state="hidden" r:id="rId15"/>
    <sheet name="COIMBATORE" sheetId="5" state="hidden" r:id="rId16"/>
    <sheet name="Thanjavur" sheetId="15" state="hidden" r:id="rId17"/>
  </sheets>
  <externalReferences>
    <externalReference r:id="rId18"/>
  </externalReferences>
  <definedNames>
    <definedName name="_xlnm._FilterDatabase" localSheetId="0" hidden="1">ARIYALUR!$G$1:$G$28</definedName>
    <definedName name="_xlnm._FilterDatabase" localSheetId="15" hidden="1">COIMBATORE!$B$1:$B$111</definedName>
    <definedName name="_xlnm._FilterDatabase" localSheetId="1" hidden="1">DINDIGUL!$G$1:$G$6</definedName>
    <definedName name="_xlnm._FilterDatabase" localSheetId="9" hidden="1">'KARAIKAL '!$G$1:$G$5</definedName>
    <definedName name="_xlnm._FilterDatabase" localSheetId="2" hidden="1">KARUR!$CD$1:$CD$17</definedName>
    <definedName name="_xlnm._FilterDatabase" localSheetId="8" hidden="1">KUMBAKONAM!$G$1:$G$12</definedName>
    <definedName name="_xlnm._FilterDatabase" localSheetId="3" hidden="1">MAYILADUTHURAI!$G$1:$G$9</definedName>
    <definedName name="_xlnm._FilterDatabase" localSheetId="4" hidden="1">NAGAPATTINUM!$G$1:$G$6</definedName>
    <definedName name="_xlnm._FilterDatabase" localSheetId="10" hidden="1">SUMMARY!$B$5:$T$31</definedName>
    <definedName name="_xlnm._FilterDatabase" localSheetId="5" hidden="1">THANJUR!$G$1:$G$9</definedName>
    <definedName name="_xlnm._FilterDatabase" localSheetId="6" hidden="1">TIRUCHIRAPPALLI!$A$28:$I$55</definedName>
  </definedNames>
  <calcPr calcId="191029" iterate="1"/>
  <fileRecoveryPr autoRecover="0"/>
</workbook>
</file>

<file path=xl/calcChain.xml><?xml version="1.0" encoding="utf-8"?>
<calcChain xmlns="http://schemas.openxmlformats.org/spreadsheetml/2006/main">
  <c r="F30" i="9" l="1"/>
  <c r="F31" i="9" s="1"/>
  <c r="Q30" i="9"/>
  <c r="Q31" i="9" s="1"/>
  <c r="CD4" i="34"/>
  <c r="CH4" i="34" s="1"/>
  <c r="A4" i="34"/>
  <c r="W30" i="9"/>
  <c r="W31" i="9" s="1"/>
  <c r="E30" i="9"/>
  <c r="E31" i="9" s="1"/>
  <c r="F4" i="19" l="1"/>
  <c r="F5" i="19"/>
  <c r="F6" i="19"/>
  <c r="F7" i="19"/>
  <c r="F8" i="19"/>
  <c r="F9" i="19"/>
  <c r="F10" i="19"/>
  <c r="F11" i="19"/>
  <c r="F12" i="19"/>
  <c r="F3" i="19"/>
  <c r="D14" i="19"/>
  <c r="F14" i="19" s="1"/>
  <c r="E14" i="19"/>
  <c r="C14" i="19"/>
  <c r="E22" i="18"/>
  <c r="F22" i="18"/>
  <c r="D22" i="18"/>
  <c r="F36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3" i="18"/>
  <c r="G22" i="18" l="1"/>
  <c r="D36" i="18"/>
  <c r="E36" i="18"/>
  <c r="G36" i="18" l="1"/>
  <c r="H26" i="9" l="1"/>
  <c r="R23" i="9"/>
  <c r="P23" i="9"/>
  <c r="O23" i="9"/>
  <c r="R22" i="9"/>
  <c r="P22" i="9"/>
  <c r="O22" i="9"/>
  <c r="M23" i="9"/>
  <c r="M22" i="9"/>
  <c r="CD8" i="24"/>
  <c r="CD9" i="24"/>
  <c r="CD10" i="24"/>
  <c r="CD11" i="24"/>
  <c r="CD12" i="24"/>
  <c r="O21" i="9"/>
  <c r="N21" i="9"/>
  <c r="M21" i="9"/>
  <c r="L21" i="9"/>
  <c r="K21" i="9"/>
  <c r="CD5" i="29"/>
  <c r="CD6" i="29"/>
  <c r="CD7" i="29"/>
  <c r="CD8" i="29"/>
  <c r="CD9" i="29"/>
  <c r="T20" i="9"/>
  <c r="T19" i="9"/>
  <c r="T18" i="9"/>
  <c r="CD28" i="28"/>
  <c r="CD29" i="28"/>
  <c r="CD30" i="28"/>
  <c r="CD31" i="28"/>
  <c r="CD32" i="28"/>
  <c r="CD33" i="28"/>
  <c r="CD34" i="28"/>
  <c r="CD35" i="28"/>
  <c r="CD36" i="28"/>
  <c r="CD37" i="28"/>
  <c r="CD38" i="28"/>
  <c r="CD39" i="28"/>
  <c r="CD40" i="28"/>
  <c r="CD41" i="28"/>
  <c r="CD42" i="28"/>
  <c r="CD43" i="28"/>
  <c r="CD44" i="28"/>
  <c r="CD45" i="28"/>
  <c r="CD46" i="28"/>
  <c r="CD47" i="28"/>
  <c r="CD48" i="28"/>
  <c r="CD49" i="28"/>
  <c r="CD50" i="28"/>
  <c r="CD51" i="28"/>
  <c r="CD52" i="28"/>
  <c r="CD53" i="28"/>
  <c r="CD54" i="28"/>
  <c r="CD55" i="28"/>
  <c r="CD5" i="28"/>
  <c r="CD6" i="28"/>
  <c r="CD7" i="28"/>
  <c r="CD8" i="28"/>
  <c r="CD9" i="28"/>
  <c r="CD10" i="28"/>
  <c r="CD11" i="28"/>
  <c r="CD12" i="28"/>
  <c r="CD13" i="28"/>
  <c r="CD14" i="28"/>
  <c r="CD15" i="28"/>
  <c r="CD16" i="28"/>
  <c r="CD17" i="28"/>
  <c r="CD18" i="28"/>
  <c r="CD19" i="28"/>
  <c r="CD20" i="28"/>
  <c r="CD21" i="28"/>
  <c r="CD22" i="28"/>
  <c r="CD23" i="28"/>
  <c r="CD24" i="28"/>
  <c r="CD25" i="28"/>
  <c r="S17" i="9"/>
  <c r="S16" i="9"/>
  <c r="CD12" i="26"/>
  <c r="CD13" i="26"/>
  <c r="CD14" i="26"/>
  <c r="CD15" i="26"/>
  <c r="CD16" i="26"/>
  <c r="CD17" i="26"/>
  <c r="CD18" i="26"/>
  <c r="CD19" i="26"/>
  <c r="CD5" i="26"/>
  <c r="CD6" i="26"/>
  <c r="CD7" i="26"/>
  <c r="CD8" i="26"/>
  <c r="CD9" i="26"/>
  <c r="CD5" i="27"/>
  <c r="CD6" i="27"/>
  <c r="CD13" i="23"/>
  <c r="CD14" i="23"/>
  <c r="CD15" i="23"/>
  <c r="CD16" i="23"/>
  <c r="CD17" i="23"/>
  <c r="CD5" i="23"/>
  <c r="CD6" i="23"/>
  <c r="CD7" i="23"/>
  <c r="CD8" i="23"/>
  <c r="CD9" i="23"/>
  <c r="CD10" i="23"/>
  <c r="CD12" i="23" l="1"/>
  <c r="CD8" i="25" l="1"/>
  <c r="CD9" i="25"/>
  <c r="CD5" i="25"/>
  <c r="T12" i="9"/>
  <c r="T11" i="9"/>
  <c r="CD4" i="23"/>
  <c r="N9" i="9"/>
  <c r="CD5" i="21"/>
  <c r="CD6" i="21"/>
  <c r="G7" i="9"/>
  <c r="BR5" i="2"/>
  <c r="BR6" i="2"/>
  <c r="BR7" i="2"/>
  <c r="T26" i="9" l="1"/>
  <c r="S20" i="9"/>
  <c r="S19" i="9"/>
  <c r="R19" i="9"/>
  <c r="S18" i="9"/>
  <c r="S12" i="9"/>
  <c r="S11" i="9"/>
  <c r="CD60" i="24"/>
  <c r="CH60" i="24" s="1"/>
  <c r="A60" i="24"/>
  <c r="CD61" i="24"/>
  <c r="A63" i="24"/>
  <c r="CD58" i="24"/>
  <c r="CH58" i="24" s="1"/>
  <c r="A58" i="24"/>
  <c r="CD59" i="24"/>
  <c r="CH59" i="24" s="1"/>
  <c r="A59" i="24"/>
  <c r="W22" i="30"/>
  <c r="X22" i="30"/>
  <c r="Y22" i="30"/>
  <c r="Z22" i="30"/>
  <c r="AA22" i="30"/>
  <c r="AB22" i="30"/>
  <c r="AC22" i="30"/>
  <c r="AD22" i="30"/>
  <c r="AE22" i="30"/>
  <c r="V22" i="30"/>
  <c r="AE36" i="30"/>
  <c r="AD36" i="30"/>
  <c r="AC36" i="30"/>
  <c r="AB36" i="30"/>
  <c r="AA36" i="30"/>
  <c r="Z36" i="30"/>
  <c r="Y36" i="30"/>
  <c r="X36" i="30"/>
  <c r="W36" i="30"/>
  <c r="V36" i="30"/>
  <c r="S26" i="9" l="1"/>
  <c r="R20" i="9"/>
  <c r="R18" i="9"/>
  <c r="Q20" i="9"/>
  <c r="Q19" i="9"/>
  <c r="Q18" i="9"/>
  <c r="R12" i="9"/>
  <c r="R11" i="9"/>
  <c r="R26" i="9" s="1"/>
  <c r="Q12" i="9"/>
  <c r="Q11" i="9"/>
  <c r="Q26" i="9" l="1"/>
  <c r="A36" i="28"/>
  <c r="CH36" i="28"/>
  <c r="A5" i="22" l="1"/>
  <c r="G22" i="9"/>
  <c r="A29" i="28"/>
  <c r="A30" i="28"/>
  <c r="A31" i="28"/>
  <c r="A32" i="28"/>
  <c r="A33" i="28"/>
  <c r="A34" i="28"/>
  <c r="A35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13" i="26"/>
  <c r="A14" i="26"/>
  <c r="A57" i="26"/>
  <c r="A15" i="26"/>
  <c r="A58" i="26"/>
  <c r="A16" i="26"/>
  <c r="A59" i="26"/>
  <c r="A17" i="26"/>
  <c r="A18" i="26"/>
  <c r="A19" i="26"/>
  <c r="P24" i="9" l="1"/>
  <c r="P17" i="9"/>
  <c r="P16" i="9"/>
  <c r="P15" i="9"/>
  <c r="P12" i="9"/>
  <c r="P11" i="9"/>
  <c r="AH5" i="22"/>
  <c r="AH4" i="22"/>
  <c r="P20" i="9" l="1"/>
  <c r="P19" i="9"/>
  <c r="P18" i="9"/>
  <c r="P26" i="9" s="1"/>
  <c r="O24" i="9" l="1"/>
  <c r="O14" i="9"/>
  <c r="O13" i="9"/>
  <c r="CD5" i="24"/>
  <c r="CH5" i="24" s="1"/>
  <c r="A5" i="24"/>
  <c r="A10" i="24"/>
  <c r="A15" i="23" l="1"/>
  <c r="A16" i="23"/>
  <c r="A17" i="23"/>
  <c r="A27" i="2"/>
  <c r="A4" i="2"/>
  <c r="A5" i="2"/>
  <c r="A6" i="2"/>
  <c r="A7" i="2"/>
  <c r="CH9" i="24" l="1"/>
  <c r="A9" i="24"/>
  <c r="CD62" i="24"/>
  <c r="A11" i="24"/>
  <c r="CD63" i="24"/>
  <c r="A62" i="24"/>
  <c r="CH62" i="24" l="1"/>
  <c r="CH63" i="24"/>
  <c r="O12" i="9"/>
  <c r="O11" i="9"/>
  <c r="CD52" i="23"/>
  <c r="CH52" i="23" s="1"/>
  <c r="A52" i="23"/>
  <c r="CH8" i="23"/>
  <c r="A8" i="23"/>
  <c r="O20" i="9" l="1"/>
  <c r="O19" i="9"/>
  <c r="O18" i="9"/>
  <c r="O17" i="9"/>
  <c r="O16" i="9"/>
  <c r="CD59" i="26"/>
  <c r="CH59" i="26" s="1"/>
  <c r="CH13" i="26"/>
  <c r="CH12" i="26"/>
  <c r="A12" i="26"/>
  <c r="O26" i="9" l="1"/>
  <c r="G24" i="9"/>
  <c r="N24" i="9"/>
  <c r="G21" i="9"/>
  <c r="N20" i="9"/>
  <c r="N18" i="9"/>
  <c r="G19" i="9"/>
  <c r="N19" i="9"/>
  <c r="M19" i="9"/>
  <c r="L19" i="9"/>
  <c r="K19" i="9"/>
  <c r="J19" i="9"/>
  <c r="I19" i="9"/>
  <c r="N17" i="9"/>
  <c r="N16" i="9"/>
  <c r="N15" i="9"/>
  <c r="G15" i="9"/>
  <c r="N12" i="9"/>
  <c r="N11" i="9"/>
  <c r="N26" i="9" l="1"/>
  <c r="A121" i="28"/>
  <c r="CD121" i="28"/>
  <c r="CH121" i="28" s="1"/>
  <c r="A5" i="27" l="1"/>
  <c r="A6" i="27"/>
  <c r="CD4" i="27"/>
  <c r="CH4" i="27" s="1"/>
  <c r="CH5" i="27"/>
  <c r="CH6" i="27"/>
  <c r="A4" i="27"/>
  <c r="AL4" i="22"/>
  <c r="A4" i="22"/>
  <c r="E24" i="9" s="1"/>
  <c r="CH15" i="26"/>
  <c r="BR27" i="2"/>
  <c r="BV27" i="2" s="1"/>
  <c r="E15" i="9" l="1"/>
  <c r="AA15" i="9"/>
  <c r="Z15" i="9"/>
  <c r="Y15" i="9"/>
  <c r="X15" i="9"/>
  <c r="W15" i="9"/>
  <c r="M20" i="9"/>
  <c r="CD58" i="28"/>
  <c r="CD27" i="28"/>
  <c r="CD96" i="28"/>
  <c r="CD97" i="28"/>
  <c r="CD98" i="28"/>
  <c r="CD99" i="28"/>
  <c r="CD100" i="28"/>
  <c r="CD101" i="28"/>
  <c r="CH40" i="28"/>
  <c r="CD102" i="28"/>
  <c r="CH53" i="28"/>
  <c r="CD103" i="28"/>
  <c r="CD104" i="28"/>
  <c r="CD105" i="28"/>
  <c r="CD106" i="28"/>
  <c r="CD115" i="28"/>
  <c r="CD116" i="28"/>
  <c r="CD117" i="28"/>
  <c r="CD118" i="28"/>
  <c r="CD119" i="28"/>
  <c r="CD120" i="28"/>
  <c r="CD122" i="28"/>
  <c r="CD123" i="28"/>
  <c r="CD124" i="28"/>
  <c r="CD125" i="28"/>
  <c r="CD126" i="28"/>
  <c r="CD127" i="28"/>
  <c r="CD128" i="28"/>
  <c r="CD129" i="28"/>
  <c r="CD130" i="28"/>
  <c r="G17" i="9"/>
  <c r="G16" i="9"/>
  <c r="J17" i="9"/>
  <c r="K17" i="9"/>
  <c r="K16" i="9"/>
  <c r="I12" i="9"/>
  <c r="I11" i="9"/>
  <c r="CD51" i="23"/>
  <c r="CD53" i="23"/>
  <c r="CD54" i="23"/>
  <c r="CD55" i="23"/>
  <c r="CD57" i="23"/>
  <c r="CD58" i="23"/>
  <c r="M7" i="9"/>
  <c r="L7" i="9"/>
  <c r="G23" i="9"/>
  <c r="CH31" i="28" l="1"/>
  <c r="CH17" i="26"/>
  <c r="CH16" i="26"/>
  <c r="CD58" i="26"/>
  <c r="CH58" i="26" s="1"/>
  <c r="A7" i="29"/>
  <c r="CH7" i="29"/>
  <c r="A61" i="24"/>
  <c r="A8" i="24"/>
  <c r="A12" i="24"/>
  <c r="A7" i="24"/>
  <c r="A4" i="24"/>
  <c r="E22" i="9" s="1"/>
  <c r="CH61" i="24"/>
  <c r="CD4" i="24"/>
  <c r="CH4" i="24" s="1"/>
  <c r="BV6" i="2"/>
  <c r="BR4" i="2"/>
  <c r="BV4" i="2" s="1"/>
  <c r="BV5" i="2"/>
  <c r="CH8" i="24" l="1"/>
  <c r="CH10" i="24"/>
  <c r="Y22" i="9"/>
  <c r="W22" i="9"/>
  <c r="Z22" i="9"/>
  <c r="X22" i="9"/>
  <c r="AA22" i="9"/>
  <c r="E23" i="9"/>
  <c r="A5" i="29"/>
  <c r="A38" i="29"/>
  <c r="A6" i="29"/>
  <c r="A39" i="29"/>
  <c r="A8" i="29"/>
  <c r="A9" i="29"/>
  <c r="A40" i="29"/>
  <c r="A4" i="29"/>
  <c r="I20" i="9"/>
  <c r="I18" i="9"/>
  <c r="I26" i="9" s="1"/>
  <c r="L20" i="9"/>
  <c r="M18" i="9"/>
  <c r="L18" i="9"/>
  <c r="A58" i="28"/>
  <c r="A57" i="28"/>
  <c r="A27" i="28"/>
  <c r="A28" i="28"/>
  <c r="A96" i="28"/>
  <c r="A97" i="28"/>
  <c r="A98" i="28"/>
  <c r="A99" i="28"/>
  <c r="A100" i="28"/>
  <c r="A101" i="28"/>
  <c r="A102" i="28"/>
  <c r="A103" i="28"/>
  <c r="A104" i="28"/>
  <c r="A105" i="28"/>
  <c r="A106" i="28"/>
  <c r="A95" i="28"/>
  <c r="A118" i="28"/>
  <c r="A119" i="28"/>
  <c r="A120" i="28"/>
  <c r="A122" i="28"/>
  <c r="A123" i="28"/>
  <c r="A124" i="28"/>
  <c r="A125" i="28"/>
  <c r="A126" i="28"/>
  <c r="A127" i="28"/>
  <c r="A128" i="28"/>
  <c r="A129" i="28"/>
  <c r="A130" i="28"/>
  <c r="A5" i="28"/>
  <c r="A115" i="28"/>
  <c r="A116" i="28"/>
  <c r="A117" i="28"/>
  <c r="A4" i="28"/>
  <c r="A56" i="26"/>
  <c r="A60" i="26"/>
  <c r="A11" i="26"/>
  <c r="A5" i="26"/>
  <c r="A62" i="26"/>
  <c r="A6" i="26"/>
  <c r="A7" i="26"/>
  <c r="A8" i="26"/>
  <c r="A9" i="26"/>
  <c r="A4" i="26"/>
  <c r="L14" i="9"/>
  <c r="L13" i="9"/>
  <c r="M12" i="9"/>
  <c r="L12" i="9"/>
  <c r="M11" i="9"/>
  <c r="L11" i="9"/>
  <c r="A51" i="23"/>
  <c r="A13" i="23"/>
  <c r="A53" i="23"/>
  <c r="A54" i="23"/>
  <c r="A14" i="23"/>
  <c r="A55" i="23"/>
  <c r="A12" i="23"/>
  <c r="A5" i="23"/>
  <c r="A6" i="23"/>
  <c r="A7" i="23"/>
  <c r="A57" i="23"/>
  <c r="A58" i="23"/>
  <c r="A9" i="23"/>
  <c r="A10" i="23"/>
  <c r="A4" i="23"/>
  <c r="M10" i="9"/>
  <c r="K10" i="9"/>
  <c r="J10" i="9"/>
  <c r="M9" i="9"/>
  <c r="K9" i="9"/>
  <c r="J9" i="9"/>
  <c r="A8" i="21"/>
  <c r="A4" i="21"/>
  <c r="A65" i="21"/>
  <c r="A5" i="21"/>
  <c r="A66" i="21"/>
  <c r="A6" i="21"/>
  <c r="A64" i="21"/>
  <c r="L8" i="9"/>
  <c r="G8" i="9"/>
  <c r="A9" i="2"/>
  <c r="E8" i="9" s="1"/>
  <c r="A26" i="2"/>
  <c r="A25" i="2"/>
  <c r="L26" i="9" l="1"/>
  <c r="M26" i="9"/>
  <c r="E21" i="9"/>
  <c r="E19" i="9"/>
  <c r="F22" i="9"/>
  <c r="E17" i="9"/>
  <c r="E7" i="9"/>
  <c r="CH11" i="28"/>
  <c r="CH8" i="29" l="1"/>
  <c r="CH5" i="29"/>
  <c r="BR9" i="2"/>
  <c r="BV9" i="2" s="1"/>
  <c r="CH14" i="23"/>
  <c r="CH9" i="23"/>
  <c r="CH54" i="23"/>
  <c r="CH9" i="28"/>
  <c r="CH9" i="29"/>
  <c r="CD38" i="29"/>
  <c r="CH38" i="29" s="1"/>
  <c r="CH6" i="29"/>
  <c r="CD39" i="29"/>
  <c r="CH39" i="29" s="1"/>
  <c r="CD40" i="29"/>
  <c r="CH40" i="29" s="1"/>
  <c r="CD4" i="29"/>
  <c r="CH4" i="29" s="1"/>
  <c r="CD66" i="21"/>
  <c r="CH66" i="21" s="1"/>
  <c r="CH16" i="23"/>
  <c r="CH55" i="23"/>
  <c r="Y21" i="9" l="1"/>
  <c r="X21" i="9"/>
  <c r="AA21" i="9"/>
  <c r="W21" i="9"/>
  <c r="Z21" i="9"/>
  <c r="AA8" i="9"/>
  <c r="W8" i="9"/>
  <c r="Y8" i="9"/>
  <c r="X8" i="9"/>
  <c r="Z8" i="9"/>
  <c r="G20" i="9"/>
  <c r="G18" i="9"/>
  <c r="G14" i="9"/>
  <c r="G13" i="9"/>
  <c r="G12" i="9"/>
  <c r="G11" i="9"/>
  <c r="G10" i="9"/>
  <c r="G9" i="9"/>
  <c r="K12" i="9"/>
  <c r="K11" i="9"/>
  <c r="K26" i="9" s="1"/>
  <c r="K20" i="9"/>
  <c r="K18" i="9"/>
  <c r="CH58" i="23"/>
  <c r="CH13" i="23"/>
  <c r="CH53" i="23"/>
  <c r="CH5" i="21"/>
  <c r="CD65" i="21"/>
  <c r="CH65" i="21" s="1"/>
  <c r="CH57" i="23"/>
  <c r="CH15" i="23"/>
  <c r="G26" i="9" l="1"/>
  <c r="F21" i="9"/>
  <c r="F8" i="9"/>
  <c r="J20" i="9"/>
  <c r="J18" i="9"/>
  <c r="J16" i="9"/>
  <c r="J12" i="9"/>
  <c r="J11" i="9"/>
  <c r="J26" i="9" s="1"/>
  <c r="E20" i="9"/>
  <c r="E18" i="9"/>
  <c r="CD95" i="28"/>
  <c r="E14" i="9"/>
  <c r="E13" i="9"/>
  <c r="E12" i="9"/>
  <c r="E11" i="9"/>
  <c r="E10" i="9"/>
  <c r="E9" i="9"/>
  <c r="E16" i="9"/>
  <c r="BR28" i="2"/>
  <c r="BV28" i="2" s="1"/>
  <c r="BV7" i="2"/>
  <c r="BR26" i="2"/>
  <c r="BV26" i="2" s="1"/>
  <c r="BR25" i="2"/>
  <c r="BV25" i="2" s="1"/>
  <c r="CH130" i="28"/>
  <c r="CD150" i="28"/>
  <c r="CD149" i="28"/>
  <c r="CD155" i="28"/>
  <c r="CD148" i="28"/>
  <c r="CD147" i="28"/>
  <c r="CD146" i="28"/>
  <c r="CD145" i="28"/>
  <c r="CH58" i="28"/>
  <c r="CD154" i="28"/>
  <c r="CD153" i="28"/>
  <c r="CD152" i="28"/>
  <c r="CD144" i="28"/>
  <c r="CD143" i="28"/>
  <c r="CD142" i="28"/>
  <c r="CD141" i="28"/>
  <c r="CD140" i="28"/>
  <c r="CD157" i="28"/>
  <c r="CH157" i="28" s="1"/>
  <c r="CD156" i="28"/>
  <c r="CH156" i="28" s="1"/>
  <c r="CD57" i="28"/>
  <c r="CH57" i="28" s="1"/>
  <c r="CD151" i="28"/>
  <c r="CD139" i="28"/>
  <c r="CD138" i="28"/>
  <c r="CD137" i="28"/>
  <c r="CH137" i="28" s="1"/>
  <c r="CD136" i="28"/>
  <c r="CH136" i="28" s="1"/>
  <c r="CD4" i="28"/>
  <c r="CH4" i="28" s="1"/>
  <c r="CH9" i="26"/>
  <c r="CH19" i="26"/>
  <c r="CD78" i="26"/>
  <c r="CH78" i="26" s="1"/>
  <c r="CD77" i="26"/>
  <c r="CH77" i="26" s="1"/>
  <c r="CH8" i="26"/>
  <c r="CD87" i="26"/>
  <c r="CH87" i="26" s="1"/>
  <c r="CD86" i="26"/>
  <c r="CH86" i="26" s="1"/>
  <c r="CD85" i="26"/>
  <c r="CH85" i="26" s="1"/>
  <c r="CH18" i="26"/>
  <c r="CD60" i="26"/>
  <c r="CH60" i="26" s="1"/>
  <c r="CH7" i="26"/>
  <c r="CH14" i="26"/>
  <c r="CD84" i="26"/>
  <c r="CH84" i="26" s="1"/>
  <c r="CD83" i="26"/>
  <c r="CH83" i="26" s="1"/>
  <c r="CH6" i="26"/>
  <c r="CD62" i="26"/>
  <c r="CH62" i="26" s="1"/>
  <c r="CD56" i="26"/>
  <c r="CH56" i="26" s="1"/>
  <c r="CD76" i="26"/>
  <c r="CH76" i="26" s="1"/>
  <c r="CD75" i="26"/>
  <c r="CH75" i="26" s="1"/>
  <c r="CD74" i="26"/>
  <c r="CH74" i="26" s="1"/>
  <c r="CD73" i="26"/>
  <c r="CH73" i="26" s="1"/>
  <c r="CD72" i="26"/>
  <c r="CH72" i="26" s="1"/>
  <c r="CH5" i="26"/>
  <c r="CD57" i="26"/>
  <c r="CH57" i="26" s="1"/>
  <c r="CD82" i="26"/>
  <c r="CH82" i="26" s="1"/>
  <c r="CD71" i="26"/>
  <c r="CH71" i="26" s="1"/>
  <c r="CD4" i="26"/>
  <c r="CH4" i="26" s="1"/>
  <c r="CD70" i="26"/>
  <c r="CH70" i="26" s="1"/>
  <c r="CD69" i="26"/>
  <c r="CH69" i="26" s="1"/>
  <c r="CD81" i="26"/>
  <c r="CH81" i="26" s="1"/>
  <c r="CD80" i="26"/>
  <c r="CH80" i="26" s="1"/>
  <c r="CD11" i="26"/>
  <c r="CH11" i="26" s="1"/>
  <c r="CD79" i="26"/>
  <c r="CH79" i="26" s="1"/>
  <c r="CH9" i="25"/>
  <c r="CH8" i="25"/>
  <c r="CD7" i="25"/>
  <c r="CH7" i="25" s="1"/>
  <c r="CH5" i="25"/>
  <c r="CD4" i="25"/>
  <c r="CH4" i="25" s="1"/>
  <c r="Y13" i="9" s="1"/>
  <c r="CD7" i="24"/>
  <c r="CH7" i="24" s="1"/>
  <c r="CH10" i="23"/>
  <c r="CH7" i="23"/>
  <c r="CH17" i="23"/>
  <c r="CH6" i="23"/>
  <c r="CH5" i="23"/>
  <c r="CH4" i="23"/>
  <c r="CH51" i="23"/>
  <c r="CH12" i="23"/>
  <c r="AL5" i="22"/>
  <c r="CH6" i="21"/>
  <c r="CD4" i="21"/>
  <c r="CH4" i="21" s="1"/>
  <c r="CD64" i="21"/>
  <c r="CH64" i="21" s="1"/>
  <c r="CD8" i="21"/>
  <c r="CH8" i="21" s="1"/>
  <c r="Z10" i="9" s="1"/>
  <c r="E26" i="9" l="1"/>
  <c r="CH12" i="24"/>
  <c r="CH11" i="24"/>
  <c r="X23" i="9" s="1"/>
  <c r="Z24" i="9"/>
  <c r="W24" i="9"/>
  <c r="Y24" i="9"/>
  <c r="X24" i="9"/>
  <c r="AA24" i="9"/>
  <c r="X14" i="9"/>
  <c r="Z17" i="9"/>
  <c r="Y17" i="9"/>
  <c r="W17" i="9"/>
  <c r="X17" i="9"/>
  <c r="AA17" i="9"/>
  <c r="X7" i="9"/>
  <c r="Z7" i="9"/>
  <c r="Y7" i="9"/>
  <c r="AA7" i="9"/>
  <c r="W7" i="9"/>
  <c r="CH41" i="28"/>
  <c r="CH155" i="28"/>
  <c r="CH102" i="28"/>
  <c r="CH24" i="28"/>
  <c r="CH115" i="28"/>
  <c r="CH116" i="28"/>
  <c r="CH10" i="28"/>
  <c r="CH13" i="28"/>
  <c r="CH149" i="28"/>
  <c r="CH21" i="28"/>
  <c r="CH17" i="28"/>
  <c r="CH25" i="28"/>
  <c r="CH141" i="28"/>
  <c r="CH143" i="28"/>
  <c r="CH145" i="28"/>
  <c r="CH117" i="28"/>
  <c r="CH122" i="28"/>
  <c r="CH148" i="28"/>
  <c r="CH126" i="28"/>
  <c r="CH23" i="28"/>
  <c r="CH150" i="28"/>
  <c r="CH96" i="28"/>
  <c r="CH42" i="28"/>
  <c r="CH105" i="28"/>
  <c r="CH97" i="28"/>
  <c r="CH45" i="28"/>
  <c r="CH51" i="28"/>
  <c r="CH106" i="28"/>
  <c r="CH46" i="28"/>
  <c r="CH48" i="28"/>
  <c r="CH19" i="28"/>
  <c r="CH22" i="28"/>
  <c r="CH14" i="28"/>
  <c r="CH119" i="28"/>
  <c r="CH7" i="28"/>
  <c r="CH5" i="28"/>
  <c r="CH98" i="28"/>
  <c r="CH28" i="28"/>
  <c r="CH138" i="28"/>
  <c r="CH147" i="28"/>
  <c r="CH139" i="28"/>
  <c r="CH6" i="28"/>
  <c r="CH118" i="28"/>
  <c r="CH15" i="28"/>
  <c r="CH16" i="28"/>
  <c r="CH18" i="28"/>
  <c r="CH20" i="28"/>
  <c r="CH128" i="28"/>
  <c r="CH140" i="28"/>
  <c r="CH142" i="28"/>
  <c r="CH144" i="28"/>
  <c r="CH8" i="28"/>
  <c r="CH12" i="28"/>
  <c r="CH146" i="28"/>
  <c r="CH120" i="28"/>
  <c r="CH123" i="28"/>
  <c r="CH124" i="28"/>
  <c r="CH125" i="28"/>
  <c r="CH127" i="28"/>
  <c r="CH129" i="28"/>
  <c r="Y14" i="9"/>
  <c r="Z13" i="9"/>
  <c r="CH99" i="28"/>
  <c r="CH95" i="28"/>
  <c r="CH49" i="28"/>
  <c r="CH54" i="28"/>
  <c r="CH153" i="28"/>
  <c r="CH103" i="28"/>
  <c r="CH151" i="28"/>
  <c r="CH29" i="28"/>
  <c r="CH33" i="28"/>
  <c r="CH101" i="28"/>
  <c r="CH38" i="28"/>
  <c r="CH27" i="28"/>
  <c r="CH30" i="28"/>
  <c r="CH32" i="28"/>
  <c r="CH34" i="28"/>
  <c r="CH35" i="28"/>
  <c r="CH39" i="28"/>
  <c r="CH43" i="28"/>
  <c r="CH47" i="28"/>
  <c r="CH50" i="28"/>
  <c r="CH104" i="28"/>
  <c r="CH37" i="28"/>
  <c r="CH152" i="28"/>
  <c r="CH100" i="28"/>
  <c r="CH154" i="28"/>
  <c r="CH44" i="28"/>
  <c r="CH52" i="28"/>
  <c r="CH55" i="28"/>
  <c r="Y16" i="9"/>
  <c r="W13" i="9"/>
  <c r="AA13" i="9"/>
  <c r="Z14" i="9"/>
  <c r="W16" i="9"/>
  <c r="AA16" i="9"/>
  <c r="X13" i="9"/>
  <c r="W14" i="9"/>
  <c r="AA14" i="9"/>
  <c r="X16" i="9"/>
  <c r="Z16" i="9"/>
  <c r="W10" i="9"/>
  <c r="AA10" i="9"/>
  <c r="X10" i="9"/>
  <c r="AA9" i="9"/>
  <c r="Y10" i="9"/>
  <c r="Y12" i="9"/>
  <c r="X11" i="9"/>
  <c r="Y9" i="9"/>
  <c r="Z9" i="9"/>
  <c r="X9" i="9"/>
  <c r="W9" i="9"/>
  <c r="W12" i="9"/>
  <c r="AA12" i="9"/>
  <c r="X12" i="9"/>
  <c r="Z12" i="9"/>
  <c r="Y11" i="9"/>
  <c r="Z11" i="9"/>
  <c r="AA11" i="9"/>
  <c r="W11" i="9"/>
  <c r="Y23" i="9" l="1"/>
  <c r="AA23" i="9"/>
  <c r="Z23" i="9"/>
  <c r="W23" i="9"/>
  <c r="F24" i="9"/>
  <c r="X19" i="9"/>
  <c r="AA19" i="9"/>
  <c r="W19" i="9"/>
  <c r="Z19" i="9"/>
  <c r="Y19" i="9"/>
  <c r="Z20" i="9"/>
  <c r="W20" i="9"/>
  <c r="AA20" i="9"/>
  <c r="X20" i="9"/>
  <c r="Y20" i="9"/>
  <c r="F15" i="9"/>
  <c r="F16" i="9"/>
  <c r="Y18" i="9"/>
  <c r="Y26" i="9" s="1"/>
  <c r="AA18" i="9"/>
  <c r="AA26" i="9" s="1"/>
  <c r="X18" i="9"/>
  <c r="X26" i="9" s="1"/>
  <c r="Z18" i="9"/>
  <c r="Z26" i="9" s="1"/>
  <c r="W18" i="9"/>
  <c r="F14" i="9"/>
  <c r="F13" i="9"/>
  <c r="F17" i="9"/>
  <c r="F10" i="9"/>
  <c r="F12" i="9"/>
  <c r="F9" i="9"/>
  <c r="F11" i="9"/>
  <c r="W26" i="9" l="1"/>
  <c r="F23" i="9"/>
  <c r="F19" i="9"/>
  <c r="F20" i="9"/>
  <c r="F18" i="9"/>
  <c r="BW53" i="15" l="1"/>
  <c r="CA53" i="15" s="1"/>
  <c r="BW52" i="15"/>
  <c r="CA52" i="15" s="1"/>
  <c r="BW51" i="15"/>
  <c r="CA51" i="15" s="1"/>
  <c r="BW50" i="15"/>
  <c r="CA50" i="15" s="1"/>
  <c r="BW49" i="15"/>
  <c r="CA49" i="15" s="1"/>
  <c r="BW48" i="15"/>
  <c r="CA48" i="15" s="1"/>
  <c r="BW4" i="15"/>
  <c r="CA4" i="15" s="1"/>
  <c r="CC29" i="5" l="1"/>
  <c r="CC27" i="5"/>
  <c r="CC25" i="5"/>
  <c r="CC23" i="5"/>
  <c r="CC21" i="5"/>
  <c r="CC19" i="5"/>
  <c r="CC5" i="5"/>
  <c r="CC6" i="5"/>
  <c r="CC7" i="5"/>
  <c r="CC8" i="5"/>
  <c r="CC9" i="5"/>
  <c r="CC10" i="5"/>
  <c r="CC11" i="5"/>
  <c r="CC12" i="5"/>
  <c r="CC13" i="5"/>
  <c r="CC14" i="5"/>
  <c r="CC15" i="5"/>
  <c r="CC16" i="5"/>
  <c r="CC17" i="5"/>
  <c r="CC4" i="5" l="1"/>
  <c r="CG21" i="5" l="1"/>
  <c r="CG10" i="5"/>
  <c r="CG5" i="5"/>
  <c r="CG15" i="5"/>
  <c r="CG23" i="5"/>
  <c r="CG27" i="5"/>
  <c r="CG13" i="5"/>
  <c r="CC75" i="5" l="1"/>
  <c r="CG9" i="5"/>
  <c r="CG19" i="5"/>
  <c r="CC111" i="5"/>
  <c r="CC105" i="5"/>
  <c r="CG75" i="5" l="1"/>
  <c r="CG111" i="5"/>
  <c r="CG16" i="5"/>
  <c r="CC108" i="5"/>
  <c r="CG108" i="5" s="1"/>
  <c r="CG17" i="5"/>
  <c r="CG14" i="5"/>
  <c r="CC107" i="5"/>
  <c r="CG107" i="5" s="1"/>
  <c r="CC106" i="5"/>
  <c r="CC104" i="5"/>
  <c r="CC103" i="5"/>
  <c r="CC102" i="5"/>
  <c r="CC110" i="5"/>
  <c r="CC109" i="5"/>
  <c r="CG103" i="5" l="1"/>
  <c r="CG102" i="5"/>
  <c r="CG25" i="5"/>
  <c r="F7" i="9" l="1"/>
  <c r="F26" i="9" s="1"/>
  <c r="CG106" i="5"/>
  <c r="CG12" i="5"/>
  <c r="CG11" i="5"/>
  <c r="CG110" i="5"/>
  <c r="CG4" i="5" l="1"/>
  <c r="CG104" i="5"/>
  <c r="CG6" i="5"/>
  <c r="CG7" i="5"/>
  <c r="CG105" i="5"/>
  <c r="CG29" i="5"/>
  <c r="CG8" i="5"/>
  <c r="CG109" i="5" l="1"/>
</calcChain>
</file>

<file path=xl/sharedStrings.xml><?xml version="1.0" encoding="utf-8"?>
<sst xmlns="http://schemas.openxmlformats.org/spreadsheetml/2006/main" count="4146" uniqueCount="1139">
  <si>
    <t>NAME OF SCHOOL</t>
  </si>
  <si>
    <t>ADDRESS</t>
  </si>
  <si>
    <t>PRINCIPAL/TEACHER NAME</t>
  </si>
  <si>
    <t>BOARD</t>
  </si>
  <si>
    <t>SEP</t>
  </si>
  <si>
    <t>OCT</t>
  </si>
  <si>
    <t>NOV</t>
  </si>
  <si>
    <t>DEC</t>
  </si>
  <si>
    <t>JAN</t>
  </si>
  <si>
    <t>FEB</t>
  </si>
  <si>
    <t>SPECIMEN- GIVEN</t>
  </si>
  <si>
    <t>PH. NO.</t>
  </si>
  <si>
    <t>I</t>
  </si>
  <si>
    <t>II</t>
  </si>
  <si>
    <t>VISIT DETIALS &amp; COMMENTS</t>
  </si>
  <si>
    <t>CBSE</t>
  </si>
  <si>
    <t>SR.
NO.</t>
  </si>
  <si>
    <t>STR</t>
  </si>
  <si>
    <t>SPECIMEN - REQ.</t>
  </si>
  <si>
    <t>COIMBATORE</t>
  </si>
  <si>
    <t>MAT</t>
  </si>
  <si>
    <t>NON
VISIT</t>
  </si>
  <si>
    <t>SPEC.
GVN</t>
  </si>
  <si>
    <t>SCHOOLS
COVERED</t>
  </si>
  <si>
    <t>STATIONS</t>
  </si>
  <si>
    <t>SR. NO.</t>
  </si>
  <si>
    <t>UPDATED</t>
  </si>
  <si>
    <t>EXECUTIVE NAME</t>
  </si>
  <si>
    <t>C</t>
  </si>
  <si>
    <t>SIDDHA NAIDU M.H.S.SCHOOL</t>
  </si>
  <si>
    <t>STATE</t>
  </si>
  <si>
    <t>P</t>
  </si>
  <si>
    <t>III</t>
  </si>
  <si>
    <t>DEC 1ST</t>
  </si>
  <si>
    <t>DEC 2ND</t>
  </si>
  <si>
    <t xml:space="preserve">JAN  1ST </t>
  </si>
  <si>
    <t>JAN 2ND</t>
  </si>
  <si>
    <t xml:space="preserve">JAN 1ST </t>
  </si>
  <si>
    <t xml:space="preserve">SR. NO </t>
  </si>
  <si>
    <t>DVR (SUMMARY)</t>
  </si>
  <si>
    <t xml:space="preserve">SEP1ST </t>
  </si>
  <si>
    <t xml:space="preserve">SEP 2ND </t>
  </si>
  <si>
    <t xml:space="preserve">OCT1ST </t>
  </si>
  <si>
    <t xml:space="preserve">OCT 2ND </t>
  </si>
  <si>
    <t>KALAIMAGAL M.H.S.SCHOOL</t>
  </si>
  <si>
    <t>FEB IST</t>
  </si>
  <si>
    <t>FEB IIND</t>
  </si>
  <si>
    <t xml:space="preserve">MAR 1ST </t>
  </si>
  <si>
    <t xml:space="preserve">MAR 2ND </t>
  </si>
  <si>
    <t xml:space="preserve">MAR </t>
  </si>
  <si>
    <t xml:space="preserve">APR </t>
  </si>
  <si>
    <t xml:space="preserve">MAY </t>
  </si>
  <si>
    <t xml:space="preserve">MAY 2ND </t>
  </si>
  <si>
    <t xml:space="preserve">JUN 2ND </t>
  </si>
  <si>
    <t xml:space="preserve">JUN 1ST </t>
  </si>
  <si>
    <t>NO. OF SCHOOL'S VISITED</t>
  </si>
  <si>
    <t xml:space="preserve">CONT NO </t>
  </si>
  <si>
    <t>AMRITA VIDYALAYAM PUBLIC SCHOOL</t>
  </si>
  <si>
    <t>MR.ARUMUGAM</t>
  </si>
  <si>
    <t>0422-2656621</t>
  </si>
  <si>
    <t>NALLAMPALAYAM</t>
  </si>
  <si>
    <t>0422-2423478</t>
  </si>
  <si>
    <t>MRS.VASANTHI</t>
  </si>
  <si>
    <t>kvmhsschool@gmail.com</t>
  </si>
  <si>
    <t>0422-2312992</t>
  </si>
  <si>
    <t>SRI SOWDESWARI VIDYALAYA M.H.S.SCHOOL</t>
  </si>
  <si>
    <t>MRS.ANURADHA</t>
  </si>
  <si>
    <t>0422-2340090</t>
  </si>
  <si>
    <t>RUBY M.H.S. SCHOOL</t>
  </si>
  <si>
    <t>MRS.KARPAGAJOTHI</t>
  </si>
  <si>
    <t>0422-2666164</t>
  </si>
  <si>
    <t>SARAVANAMPATTI</t>
  </si>
  <si>
    <t>MR.SATHISH</t>
  </si>
  <si>
    <t>0422-2243924</t>
  </si>
  <si>
    <t>SIDHAPUR</t>
  </si>
  <si>
    <t>METTUPALAYAM</t>
  </si>
  <si>
    <t>MRS.DEVI</t>
  </si>
  <si>
    <t>ONDIPUDUR</t>
  </si>
  <si>
    <t>0422-2341287</t>
  </si>
  <si>
    <t>G.K.D.M.H.S.SCHOOL</t>
  </si>
  <si>
    <t>MRS.PRASANNA RADHA KRISHNAN</t>
  </si>
  <si>
    <t>0422-2693335</t>
  </si>
  <si>
    <t>PERIYANAYAKENPALAYAM</t>
  </si>
  <si>
    <t>SHREE DHARMASASTHA M.H.S.SCHOOL</t>
  </si>
  <si>
    <t>MRS.DHANALAKSHMI</t>
  </si>
  <si>
    <t>VILLANKURICHI</t>
  </si>
  <si>
    <t>VIDYAA VIKAS M.H.S.SCHOOL</t>
  </si>
  <si>
    <t>MR.SURESH</t>
  </si>
  <si>
    <t>KARAMADAI</t>
  </si>
  <si>
    <t>ASHRAM M.H.S.SCHOOL</t>
  </si>
  <si>
    <t>MR.DEVENDRAN</t>
  </si>
  <si>
    <t>0422-2607029</t>
  </si>
  <si>
    <t>KOVAIPUDUR</t>
  </si>
  <si>
    <t>CHAVARA VIDYA BHAVAN M.H.S.SCHOOL</t>
  </si>
  <si>
    <t>MR.KARTHIK</t>
  </si>
  <si>
    <t>0422-2423451</t>
  </si>
  <si>
    <t>SOMAYAMPALAYAM</t>
  </si>
  <si>
    <t>MRS.JAYASANTHA</t>
  </si>
  <si>
    <t>cbec-crrmhss.yahoo.co.in</t>
  </si>
  <si>
    <t>HINDUSTAN M.H.S. SCHOOL</t>
  </si>
  <si>
    <t>MRS.SHANBAGAVALLI</t>
  </si>
  <si>
    <t xml:space="preserve">SEP 1ST </t>
  </si>
  <si>
    <t xml:space="preserve">OCT 1ST </t>
  </si>
  <si>
    <t xml:space="preserve">NOV 1ST </t>
  </si>
  <si>
    <t xml:space="preserve">NOV 2ND </t>
  </si>
  <si>
    <t>MR.RASHIK</t>
  </si>
  <si>
    <t xml:space="preserve">DEC 1ST </t>
  </si>
  <si>
    <t xml:space="preserve">DEC 2ND </t>
  </si>
  <si>
    <t xml:space="preserve">JAN 2ND </t>
  </si>
  <si>
    <t xml:space="preserve">FEB 2ND </t>
  </si>
  <si>
    <t xml:space="preserve">FEB 1ST  </t>
  </si>
  <si>
    <t xml:space="preserve">FEB 2ND  </t>
  </si>
  <si>
    <t xml:space="preserve">FEB 1ST </t>
  </si>
  <si>
    <t xml:space="preserve">APR 1ST </t>
  </si>
  <si>
    <t xml:space="preserve">APR 2ND </t>
  </si>
  <si>
    <t xml:space="preserve">MAR 1ST  </t>
  </si>
  <si>
    <t xml:space="preserve">VIAN VEENAI PUBLIC SCHOOL </t>
  </si>
  <si>
    <t xml:space="preserve">OLHAKKAL MANDAPARO COIMBATORE </t>
  </si>
  <si>
    <t xml:space="preserve">VIAN VEENAI MHS SCHOOL </t>
  </si>
  <si>
    <t xml:space="preserve">MR. RASHIK </t>
  </si>
  <si>
    <t xml:space="preserve">NAIRS PUBLIC SCHOOL </t>
  </si>
  <si>
    <t xml:space="preserve">MR. KAMALA </t>
  </si>
  <si>
    <t xml:space="preserve">APR2ND </t>
  </si>
  <si>
    <t xml:space="preserve">MAY  1ST </t>
  </si>
  <si>
    <t xml:space="preserve">MAY 1ST </t>
  </si>
  <si>
    <t xml:space="preserve">JUL 2ND </t>
  </si>
  <si>
    <t xml:space="preserve">JUL 1ST </t>
  </si>
  <si>
    <t xml:space="preserve">AUG 1ST </t>
  </si>
  <si>
    <t xml:space="preserve">AUG 2ND </t>
  </si>
  <si>
    <t>SEP-IST</t>
  </si>
  <si>
    <t>SEP-2ND</t>
  </si>
  <si>
    <t xml:space="preserve">E. MAIL ID . </t>
  </si>
  <si>
    <t>MATRIC</t>
  </si>
  <si>
    <t>CBSE &amp; MATRIC</t>
  </si>
  <si>
    <t>KONGU VELLALAR GROUP OF SCHOOL</t>
  </si>
  <si>
    <t>VIYAN VEENAI PUBLIC SCHOOL</t>
  </si>
  <si>
    <t>OTHTHAKAL MANDABAM</t>
  </si>
  <si>
    <t>RAGAVENDRA M.H.S SCHOOL</t>
  </si>
  <si>
    <t>MRS.SIVAKAMA SUNDARI</t>
  </si>
  <si>
    <t>VASAVI VIDYALAYA M.H.S SCHOOL</t>
  </si>
  <si>
    <t>vasavi vidya@vsnl.net</t>
  </si>
  <si>
    <t>MRS.VIJAYALAK SHIMI</t>
  </si>
  <si>
    <t>CRR M.H.S SCHOOL</t>
  </si>
  <si>
    <t>K.P.M MHS SCHOOL</t>
  </si>
  <si>
    <t>kpmtrust@gmail.com</t>
  </si>
  <si>
    <t>MR.KARUNANIDHI</t>
  </si>
  <si>
    <t>EACHANARI</t>
  </si>
  <si>
    <t>NATIONAL MODEL MHS SCHOOL</t>
  </si>
  <si>
    <t>principalmatric@nationalmodel.co.in</t>
  </si>
  <si>
    <t>MRS.BABY</t>
  </si>
  <si>
    <t>04222-2575318</t>
  </si>
  <si>
    <t xml:space="preserve">E. MAIL ID. </t>
  </si>
  <si>
    <t>KARUR</t>
  </si>
  <si>
    <t>LITTLE ANGEL'S ENGLISH HR SEC SCHOOL</t>
  </si>
  <si>
    <t>SRI GURU BRAMMA VIDYALAYA MHS SCHOOL</t>
  </si>
  <si>
    <t>THILLAI NAGAR</t>
  </si>
  <si>
    <t>EQUITAS GURUKULAM MHS SCHOOL</t>
  </si>
  <si>
    <t>AKSHARA YOVA KIDS SCHOOL</t>
  </si>
  <si>
    <t>RAMAKRISHNAPURAM</t>
  </si>
  <si>
    <t xml:space="preserve">KPM MHS SCHOOL </t>
  </si>
  <si>
    <t xml:space="preserve">EQUITAS GURU GULAM MHS SCHOOL </t>
  </si>
  <si>
    <t>SHREE SHANKARA VIDYALAYA</t>
  </si>
  <si>
    <t xml:space="preserve">ONDIPUDUR
COIMBATORE </t>
  </si>
  <si>
    <t>K.NAGAR, G.NAGAR M.H.S SCHOOL</t>
  </si>
  <si>
    <t xml:space="preserve">RUBY MHS SCHOOL </t>
  </si>
  <si>
    <t>OCT 1ST</t>
  </si>
  <si>
    <t>OCT 2ND</t>
  </si>
  <si>
    <t xml:space="preserve">VCSSM MHS. SCHOOL </t>
  </si>
  <si>
    <t>THUDIYALUR</t>
  </si>
  <si>
    <t xml:space="preserve">RKV SR. SEC. SCHOOL </t>
  </si>
  <si>
    <t>KANYAMUTHUR</t>
  </si>
  <si>
    <t xml:space="preserve">VIJAYA LUXMI MHS SCHOOL </t>
  </si>
  <si>
    <t xml:space="preserve">SIRUMUGAI </t>
  </si>
  <si>
    <t xml:space="preserve">SRI. KRISHNA MHS SCHOOL </t>
  </si>
  <si>
    <t>SINGLE
VISIT</t>
  </si>
  <si>
    <t>DOUBLE
VISIT</t>
  </si>
  <si>
    <t>TRIPLE
VISIT</t>
  </si>
  <si>
    <t>FOUR + 
VISIT</t>
  </si>
  <si>
    <t xml:space="preserve">BHARATHI MHS SCHOOL </t>
  </si>
  <si>
    <t xml:space="preserve">KARAMADAI RANGANATHAR MHS SCHOOL </t>
  </si>
  <si>
    <t>KARAMADAI COIMBATORE</t>
  </si>
  <si>
    <t xml:space="preserve">NATIONAL MHS SCHOOL </t>
  </si>
  <si>
    <t>VENGAMEDU
KARUR</t>
  </si>
  <si>
    <t>PEELAMEDU
COIMBATORE</t>
  </si>
  <si>
    <t xml:space="preserve">STATIONS </t>
  </si>
  <si>
    <t>MRS.PERIYANAYAKI</t>
  </si>
  <si>
    <t>0422-442187</t>
  </si>
  <si>
    <t>MR.KARUANEETHI</t>
  </si>
  <si>
    <t>0422-672064</t>
  </si>
  <si>
    <t>MRS.ANUGAYATHRI</t>
  </si>
  <si>
    <t>MRS.GEETHA</t>
  </si>
  <si>
    <t>04222-257554</t>
  </si>
  <si>
    <t>MRS.ASHMI</t>
  </si>
  <si>
    <t>04222-252878</t>
  </si>
  <si>
    <t>04222-666164</t>
  </si>
  <si>
    <t>MRS.K.V BHANUMATHI</t>
  </si>
  <si>
    <t>MR.ANBARASU</t>
  </si>
  <si>
    <t>MRS.NANDHINI</t>
  </si>
  <si>
    <t>04252-255366</t>
  </si>
  <si>
    <t xml:space="preserve">APR 10: DELETE </t>
  </si>
  <si>
    <t>APR 10: DELETE</t>
  </si>
  <si>
    <t>SELVAPURAM
COIMBATORE</t>
  </si>
  <si>
    <t>VENKATAPURAM
COIMBATORE</t>
  </si>
  <si>
    <t>KARUMATHAM PATTI
COIMBATORE</t>
  </si>
  <si>
    <t xml:space="preserve">VADAVALLI
COIMBATORE </t>
  </si>
  <si>
    <t>KAVUNDAM PALYAM
COIMBATORE</t>
  </si>
  <si>
    <t>TELUGU PALAYAM PRIVU
COIMBATORE</t>
  </si>
  <si>
    <t>DINDIGUL</t>
  </si>
  <si>
    <t>PULIYANKULAM
COIMBATORE</t>
  </si>
  <si>
    <r>
      <t>COIMBATORE,</t>
    </r>
    <r>
      <rPr>
        <b/>
        <sz val="22"/>
        <color rgb="FFFF0000"/>
        <rFont val="Calibri"/>
        <family val="2"/>
        <scheme val="minor"/>
      </rPr>
      <t xml:space="preserve"> (SIRUMUGAI ,METTUPALAYAM,KANYAMUTHUR,SARAVANAMPATTI,THUDIYALUR,ONDIPUDUR )</t>
    </r>
  </si>
  <si>
    <t xml:space="preserve">DELETE 12TH JUNE </t>
  </si>
  <si>
    <t xml:space="preserve">REMARKS VIA CALL &amp; MAIL </t>
  </si>
  <si>
    <t>THANJAVUR</t>
  </si>
  <si>
    <t xml:space="preserve">PRASIDDHI VIDYODAYA  SCHOOL </t>
  </si>
  <si>
    <t>MRS. MADHURI</t>
  </si>
  <si>
    <t xml:space="preserve">STATE </t>
  </si>
  <si>
    <t>NO. OF
SCHOOL'S</t>
  </si>
  <si>
    <t xml:space="preserve">NOT IN DVR </t>
  </si>
  <si>
    <t>SR NO .</t>
  </si>
  <si>
    <t>STATIONS COVERED</t>
  </si>
  <si>
    <t>TOTAL NO. 
OF SCHOOL'S</t>
  </si>
  <si>
    <t>BOOKS PRESCRIBED NO. OF SCHOOL'S</t>
  </si>
  <si>
    <t>%</t>
  </si>
  <si>
    <t>ICSE</t>
  </si>
  <si>
    <t>Amirtha vidyalaya</t>
  </si>
  <si>
    <t>Retaivaikal road</t>
  </si>
  <si>
    <t>Tiruchirappalli</t>
  </si>
  <si>
    <t>ADITHYA BIRLA</t>
  </si>
  <si>
    <t>abraham</t>
  </si>
  <si>
    <t>adithyabirla@gmail.com</t>
  </si>
  <si>
    <t>Ariyalur</t>
  </si>
  <si>
    <t>sri vageesha vidyashram</t>
  </si>
  <si>
    <t>Ananthan</t>
  </si>
  <si>
    <t>mellur road.trichy</t>
  </si>
  <si>
    <t>SUNDARAJANVIDYALAYA</t>
  </si>
  <si>
    <t>angalaeswari</t>
  </si>
  <si>
    <t>0451-2471700</t>
  </si>
  <si>
    <t>soundaraja2002@yahoo.com</t>
  </si>
  <si>
    <t>Dindigul</t>
  </si>
  <si>
    <t>Dr GS Kalyanasundaram Memorial School</t>
  </si>
  <si>
    <t>Anusha</t>
  </si>
  <si>
    <t>Kumbakonam</t>
  </si>
  <si>
    <t>Thanjavur</t>
  </si>
  <si>
    <t>Thamarai international school</t>
  </si>
  <si>
    <t>Balaji</t>
  </si>
  <si>
    <t>Thanjore</t>
  </si>
  <si>
    <t>LITTLE FLOWER</t>
  </si>
  <si>
    <t>Binu joseph</t>
  </si>
  <si>
    <t>littleflowercst@gmail.com</t>
  </si>
  <si>
    <t>Karur</t>
  </si>
  <si>
    <t>Cauvery Global</t>
  </si>
  <si>
    <t>Book incharge</t>
  </si>
  <si>
    <t>ramalingam nagar.trichy cbse</t>
  </si>
  <si>
    <t>YWCA matric grp</t>
  </si>
  <si>
    <t>Books incharge</t>
  </si>
  <si>
    <t>Trichy</t>
  </si>
  <si>
    <t>CAMPION A.I. SEC.SCHOOL</t>
  </si>
  <si>
    <t>Bro.Jamespaulraj</t>
  </si>
  <si>
    <t>championmatricschool@yahoo.com</t>
  </si>
  <si>
    <t>ST.ARNOLD METRIC .SCHOOL</t>
  </si>
  <si>
    <t>Bro.Lawrence Bose</t>
  </si>
  <si>
    <t>starnadschool@gmail.com</t>
  </si>
  <si>
    <t>mont fort nursery &amp; primary</t>
  </si>
  <si>
    <t>Brother.Amal Raj</t>
  </si>
  <si>
    <t>0432-267367</t>
  </si>
  <si>
    <t>manaparai trichy</t>
  </si>
  <si>
    <t>nil</t>
  </si>
  <si>
    <t>DALMIYA VIDHYA</t>
  </si>
  <si>
    <t>Christopherdes</t>
  </si>
  <si>
    <t>dalmiyavidyamandir@gmail.com</t>
  </si>
  <si>
    <t>AYESHA</t>
  </si>
  <si>
    <t>Dr.Karunniya</t>
  </si>
  <si>
    <t>ayshagirlsschool@gmail.com</t>
  </si>
  <si>
    <t>ST PATTRICAS ACADEMY</t>
  </si>
  <si>
    <t>father ramesh</t>
  </si>
  <si>
    <t>HOLY CROSS</t>
  </si>
  <si>
    <t>father.jayaraj</t>
  </si>
  <si>
    <t>hcms2020@gmai.com</t>
  </si>
  <si>
    <t>arockia matha</t>
  </si>
  <si>
    <t>Father.Thomas</t>
  </si>
  <si>
    <t>0431-2483859</t>
  </si>
  <si>
    <t>arockiamata@gmail.com</t>
  </si>
  <si>
    <t>karumandapam.trichy</t>
  </si>
  <si>
    <t>JEGEN MATHA MATRIC</t>
  </si>
  <si>
    <t>Fr.Chinnappan</t>
  </si>
  <si>
    <t>jagamatamatricschool@yahoo.com</t>
  </si>
  <si>
    <t>BISHOP DEVADOSS AMROSE VIDHYALAYA</t>
  </si>
  <si>
    <t>Fr.Christopher</t>
  </si>
  <si>
    <t>ST JAMES MATRIC</t>
  </si>
  <si>
    <t>Fr.Eugene</t>
  </si>
  <si>
    <t>0431-2418168</t>
  </si>
  <si>
    <t>stjamesmatricschool@yahoo.com</t>
  </si>
  <si>
    <t>holly cross</t>
  </si>
  <si>
    <t>fr.joan petar</t>
  </si>
  <si>
    <t>0431 2607175</t>
  </si>
  <si>
    <t>hollycrossschool@yahoo.com</t>
  </si>
  <si>
    <t>somarampettai trichy</t>
  </si>
  <si>
    <t>Fr.joan petar</t>
  </si>
  <si>
    <t>0431-2607125</t>
  </si>
  <si>
    <t>RAMAKRISHNA</t>
  </si>
  <si>
    <t>ganeshan</t>
  </si>
  <si>
    <t>ramakrishnamatric@gmail.com</t>
  </si>
  <si>
    <t>Sacred heart cbse</t>
  </si>
  <si>
    <t>Ilaiyaraja</t>
  </si>
  <si>
    <t>Mathur</t>
  </si>
  <si>
    <t>RAMCO</t>
  </si>
  <si>
    <t>ishwarya</t>
  </si>
  <si>
    <t>ramcovidyamandir@gmail.com</t>
  </si>
  <si>
    <t>Kamatchi</t>
  </si>
  <si>
    <t>rajaji vidyalaya.</t>
  </si>
  <si>
    <t>Karthik</t>
  </si>
  <si>
    <t>thennur trichy</t>
  </si>
  <si>
    <t>Jayandra matric school</t>
  </si>
  <si>
    <t>Laxman</t>
  </si>
  <si>
    <t>sri sankara matric</t>
  </si>
  <si>
    <t>Meena</t>
  </si>
  <si>
    <t>market road.trichy</t>
  </si>
  <si>
    <t>Mr Breeze Pappachan</t>
  </si>
  <si>
    <t>drgsk.2007@yahoo.in</t>
  </si>
  <si>
    <t>YAGAPPA INTERNATIONAL SCHOOL</t>
  </si>
  <si>
    <t>Mr Edward</t>
  </si>
  <si>
    <t>yistj@gmail.com</t>
  </si>
  <si>
    <t>NAV BHARATH MATRIC SCHOOL</t>
  </si>
  <si>
    <t>Mr Johnson</t>
  </si>
  <si>
    <t>04362-240776</t>
  </si>
  <si>
    <t>navbharathtnj@gmail.com</t>
  </si>
  <si>
    <t>LITTLE SCHOLARS MATRIC SCHOOL</t>
  </si>
  <si>
    <t>Mr Nandha sikamani</t>
  </si>
  <si>
    <t>04362-259130</t>
  </si>
  <si>
    <t>lsmhss.thanjavur@gmail.com</t>
  </si>
  <si>
    <t>ALAGU JOTHI ACADEMY</t>
  </si>
  <si>
    <t>Mr Noel</t>
  </si>
  <si>
    <t>aja@gmail.com</t>
  </si>
  <si>
    <t>Mayiladuthurai</t>
  </si>
  <si>
    <t>LITTLE ROSE MATRIC SCHOOL</t>
  </si>
  <si>
    <t>Mr Rajendran</t>
  </si>
  <si>
    <t>littlerosematricschool@gmail.com</t>
  </si>
  <si>
    <t>DHARANI MATRIC SCHOOL</t>
  </si>
  <si>
    <t>Mr Rajkumar</t>
  </si>
  <si>
    <t>dharanimatricmannai@gmail.com</t>
  </si>
  <si>
    <t>VIVEKANANDA MATRIC SCHOOL</t>
  </si>
  <si>
    <t>Mr Ramesh</t>
  </si>
  <si>
    <t>04364-270595</t>
  </si>
  <si>
    <t>vmhsssirkali@gmail.com</t>
  </si>
  <si>
    <t>RAJ MATRIC SCHOOL</t>
  </si>
  <si>
    <t>Mr Venkatraman</t>
  </si>
  <si>
    <t>04364-224488</t>
  </si>
  <si>
    <t>rajmatricmayilai@gmail.com</t>
  </si>
  <si>
    <t>DHARANI VIDYA MANDHIR CBSE SCHOOL</t>
  </si>
  <si>
    <t>Mr Vidyut</t>
  </si>
  <si>
    <t>dvmcbseschool@gmail.com</t>
  </si>
  <si>
    <t>Samadh School</t>
  </si>
  <si>
    <t>samadhschool@tri.com</t>
  </si>
  <si>
    <t>kajamalai.trichy</t>
  </si>
  <si>
    <t>VIGNESH PUBLIC SCHOOL</t>
  </si>
  <si>
    <t>Mr.Dhayanadhan</t>
  </si>
  <si>
    <t>vignesh_@hahoo.com</t>
  </si>
  <si>
    <t>RAJAM KRISHNAMOORTHY PUBLIC SCHOOL</t>
  </si>
  <si>
    <t>Mr.Hari</t>
  </si>
  <si>
    <t>krishnamorthypublicschool@gmail.com</t>
  </si>
  <si>
    <t>Mr.Navin</t>
  </si>
  <si>
    <t>PERIYAR MATRIC SCHOOL</t>
  </si>
  <si>
    <t>Mr.Radha Krishnan</t>
  </si>
  <si>
    <t>0431 2456394</t>
  </si>
  <si>
    <t>periyarmatricschool@gmail.com</t>
  </si>
  <si>
    <t>GURNANAK SAMANDHAR MATRIC</t>
  </si>
  <si>
    <t>Mr.Saravanan</t>
  </si>
  <si>
    <t>CHRIST KING</t>
  </si>
  <si>
    <t>Mrs.Devi.M</t>
  </si>
  <si>
    <t>CARE SCHOOL</t>
  </si>
  <si>
    <t>Mrs.Gita</t>
  </si>
  <si>
    <t>dieschool@gmail.com</t>
  </si>
  <si>
    <t>Vignesh public school</t>
  </si>
  <si>
    <t>srivigneshpublicschool@gmail.com</t>
  </si>
  <si>
    <t>Woriyur</t>
  </si>
  <si>
    <t>Mrs.Mumtaj</t>
  </si>
  <si>
    <t>Santhanam Vidhyalaya</t>
  </si>
  <si>
    <t>Mrs.padma srinivasan</t>
  </si>
  <si>
    <t>santanamvidyalaya@gmail.com</t>
  </si>
  <si>
    <t>murugan talkies road</t>
  </si>
  <si>
    <t>SIVANANDHA BALA</t>
  </si>
  <si>
    <t>Mrs.Revathy</t>
  </si>
  <si>
    <t>sivanandabalalaya@radiffmaul.com</t>
  </si>
  <si>
    <t>NAGORE MODERN MATRIC SCHOOL</t>
  </si>
  <si>
    <t>Ms Bennet</t>
  </si>
  <si>
    <t>Nagapattinam</t>
  </si>
  <si>
    <t>AMALRAJ MATRIC HR SEC SCHOOL</t>
  </si>
  <si>
    <t>Ms Brejet Amali</t>
  </si>
  <si>
    <t>04362-260488</t>
  </si>
  <si>
    <t>amalrajmhss@gmail.com</t>
  </si>
  <si>
    <t>CHINMAYA VIDHYALAYA</t>
  </si>
  <si>
    <t>J JEYA MATRIC HR SEC SCHOOL</t>
  </si>
  <si>
    <t>Ms Henna bashkar</t>
  </si>
  <si>
    <t>GOOD SEMARITAN SCHOOL</t>
  </si>
  <si>
    <t>Ms Jasmine</t>
  </si>
  <si>
    <t>info@gspschool.org</t>
  </si>
  <si>
    <t>BEST MATRICULATION HR SC SCHOOL</t>
  </si>
  <si>
    <t>Ms Jaya</t>
  </si>
  <si>
    <t>04362-268333</t>
  </si>
  <si>
    <t>bestmhss@gmail.com</t>
  </si>
  <si>
    <t>TANYASRI UBAYADULLA MATRIC HR SEC SCHOOL</t>
  </si>
  <si>
    <t>Ms Nagalakshmi</t>
  </si>
  <si>
    <t>04374-251822</t>
  </si>
  <si>
    <t>tansrischool@gmail.com</t>
  </si>
  <si>
    <t>KAMALA SUBRAMANIAM PUBLIC SCHOOL</t>
  </si>
  <si>
    <t>Ms Ponni</t>
  </si>
  <si>
    <t>04362-227840</t>
  </si>
  <si>
    <t>ksmsthanjavur@gmail.com</t>
  </si>
  <si>
    <t>NIVEDHA MATRIC HR SEC SCHOOL</t>
  </si>
  <si>
    <t>Ms Pushpa</t>
  </si>
  <si>
    <t>nivedhamhsspor@yahoo.co.in</t>
  </si>
  <si>
    <t>Karaikal</t>
  </si>
  <si>
    <t>NAGORE CRECENT MATRIC SCHOOL</t>
  </si>
  <si>
    <t>ST ANNES MATRICULATION HR SEC SHOOL</t>
  </si>
  <si>
    <t>Ms Sara</t>
  </si>
  <si>
    <t>0435-2411221</t>
  </si>
  <si>
    <t>stannesschoolkm@gmail.com</t>
  </si>
  <si>
    <t>AL MUBEEN MATRIC SCHOOL</t>
  </si>
  <si>
    <t>Ms Saroja</t>
  </si>
  <si>
    <t>almubeenschool@gmail.com</t>
  </si>
  <si>
    <t>SANKARA VIDYALAYA</t>
  </si>
  <si>
    <t>Ms Sathya</t>
  </si>
  <si>
    <t>sankaravidyalayamyl@gmail.com</t>
  </si>
  <si>
    <t>SRI SHANMUGA MATRIC SCHOOL</t>
  </si>
  <si>
    <t>Ms Shanthi</t>
  </si>
  <si>
    <t>04366-230791</t>
  </si>
  <si>
    <t>ssmsmannai@gmail.com</t>
  </si>
  <si>
    <t>Sri Ramakrishna Vidhyalaya</t>
  </si>
  <si>
    <t>Ms.Chitra</t>
  </si>
  <si>
    <t>ramakrisnapublicschool@gmail.com</t>
  </si>
  <si>
    <t>opp mit.mathur.trichy</t>
  </si>
  <si>
    <t>SHAKESPEARE METRIC</t>
  </si>
  <si>
    <t>Ms.Dana Selvi</t>
  </si>
  <si>
    <t>0431-2300657</t>
  </si>
  <si>
    <t>Sowma Public School</t>
  </si>
  <si>
    <t>ms.epsiba</t>
  </si>
  <si>
    <t>sowmapublicschool@gmail.com</t>
  </si>
  <si>
    <t>viralimalai road.trichy</t>
  </si>
  <si>
    <t>Sri matha Matric school</t>
  </si>
  <si>
    <t>Ms.Gowri</t>
  </si>
  <si>
    <t>0435-2431566</t>
  </si>
  <si>
    <t>ST JAMES ACADEMY</t>
  </si>
  <si>
    <t>ms.jacklin</t>
  </si>
  <si>
    <t>0431 2411545</t>
  </si>
  <si>
    <t>Ms.Jayanthi</t>
  </si>
  <si>
    <t>DELTA PUBLIC SCHOOL</t>
  </si>
  <si>
    <t>Ms.Jeosphine</t>
  </si>
  <si>
    <t>SADIK MATRIC</t>
  </si>
  <si>
    <t>Ms.Kamartha Raj</t>
  </si>
  <si>
    <t>0431-233085</t>
  </si>
  <si>
    <t>sadikmatic school@gmail.com</t>
  </si>
  <si>
    <t>OM MARUTHI</t>
  </si>
  <si>
    <t>Ms.Karthika</t>
  </si>
  <si>
    <t>0431 -4816789</t>
  </si>
  <si>
    <t>ommaruthi@gmail.com</t>
  </si>
  <si>
    <t>Sri Vignesh Renga trichy</t>
  </si>
  <si>
    <t>Ms.Lakshmi</t>
  </si>
  <si>
    <t>0431-2432914</t>
  </si>
  <si>
    <t>rangamatric@gmail.com</t>
  </si>
  <si>
    <t>srirangam.trichy</t>
  </si>
  <si>
    <t>KAMALA NIKETHAN</t>
  </si>
  <si>
    <t>Ms.Malathi</t>
  </si>
  <si>
    <t>knmsschool@yahoo.com</t>
  </si>
  <si>
    <t>LAKSHMI METRIC</t>
  </si>
  <si>
    <t>ms.mannimozhi</t>
  </si>
  <si>
    <t>0432 260279</t>
  </si>
  <si>
    <t>malshmimatric@yahoo.co.in</t>
  </si>
  <si>
    <t>Infant Jesus</t>
  </si>
  <si>
    <t>Ms.Margrate</t>
  </si>
  <si>
    <t>0431-2472313</t>
  </si>
  <si>
    <t>infantjesus@gmail.com</t>
  </si>
  <si>
    <t>edumalaipatti trichy</t>
  </si>
  <si>
    <t>BLOSSOM PUBLIC SCHOOL</t>
  </si>
  <si>
    <t>Ms.Mery Shanthi</t>
  </si>
  <si>
    <t>CSI METHODIST NURSERY</t>
  </si>
  <si>
    <t>Ms.Pamila</t>
  </si>
  <si>
    <t>0431-2760707</t>
  </si>
  <si>
    <t>csimethodist@yahoo.com</t>
  </si>
  <si>
    <t>GANESWARA NURSERY</t>
  </si>
  <si>
    <t>Ms.Prasanthi</t>
  </si>
  <si>
    <t>ganeswaranursery@yahoo.in</t>
  </si>
  <si>
    <t>CAUVERY INTERNATIONAL</t>
  </si>
  <si>
    <t>Ms.Priya</t>
  </si>
  <si>
    <t>cauveryintl@gmail.com</t>
  </si>
  <si>
    <t>ST .JOHN OF ARC</t>
  </si>
  <si>
    <t>Ms.renuka</t>
  </si>
  <si>
    <t>stjohn@yahoo.com</t>
  </si>
  <si>
    <t>ms.saraswathi</t>
  </si>
  <si>
    <t>ORCHARD CBSE SCHOOL</t>
  </si>
  <si>
    <t>Ms.Silvi</t>
  </si>
  <si>
    <t>0431-2457994</t>
  </si>
  <si>
    <t>orchardschool@gmail.com</t>
  </si>
  <si>
    <t>Brindavan vidhyalaya</t>
  </si>
  <si>
    <t>ms.sivakami</t>
  </si>
  <si>
    <t>brindavn@yahoo.com</t>
  </si>
  <si>
    <t>kallailanai road trichy</t>
  </si>
  <si>
    <t>Ms.vatsala</t>
  </si>
  <si>
    <t>0431-2300866</t>
  </si>
  <si>
    <t>chinmayavidyalaya@gmail.com</t>
  </si>
  <si>
    <t>Kamakodi Vidhyalaya</t>
  </si>
  <si>
    <t>ms.venmathi</t>
  </si>
  <si>
    <t>kamakotividyalaya@gmail.com</t>
  </si>
  <si>
    <t>chatram bus stop trichy</t>
  </si>
  <si>
    <t>Ms.Vijayashree</t>
  </si>
  <si>
    <t>vageeshavidyashram@gmail.com</t>
  </si>
  <si>
    <t>ST. JOHNPAULS</t>
  </si>
  <si>
    <t>mumtaj</t>
  </si>
  <si>
    <t>stjohnpaulsacademy@gmail.com</t>
  </si>
  <si>
    <t>LNVN</t>
  </si>
  <si>
    <t>lnvnindia@yahoo.com</t>
  </si>
  <si>
    <t>KSV GROUP</t>
  </si>
  <si>
    <t>padmanaban</t>
  </si>
  <si>
    <t>ksvgroupschools@gmail.com</t>
  </si>
  <si>
    <t>JOHN BRITTO</t>
  </si>
  <si>
    <t>Pri.Antony</t>
  </si>
  <si>
    <t>jonbrittoschhol@gmail.com</t>
  </si>
  <si>
    <t>VENKATESWARA MATRIC</t>
  </si>
  <si>
    <t>Pri.varadharajan</t>
  </si>
  <si>
    <t>04362-223487</t>
  </si>
  <si>
    <t>RADIANT INTERNATIONAL SCHOOL</t>
  </si>
  <si>
    <t>Pri.Vasanth</t>
  </si>
  <si>
    <t>CHRIST INTERNATIONAL SCHOOL</t>
  </si>
  <si>
    <t>Pri.Vijayalakshmi</t>
  </si>
  <si>
    <t>Priya</t>
  </si>
  <si>
    <t>Rathna</t>
  </si>
  <si>
    <t>RAMAKRISHNA PUBLIC</t>
  </si>
  <si>
    <t>sharmila</t>
  </si>
  <si>
    <t>ramakrishnapublicschool@gmail.com</t>
  </si>
  <si>
    <t>ST.ANTONY CONVERT</t>
  </si>
  <si>
    <t>SIS.prasanna</t>
  </si>
  <si>
    <t>stantonycovent@gmail.com</t>
  </si>
  <si>
    <t>Sister Sali</t>
  </si>
  <si>
    <t>sacredheartcbseschool@gmail,com</t>
  </si>
  <si>
    <t>Sivakumar</t>
  </si>
  <si>
    <t>VENUS GLOBAL</t>
  </si>
  <si>
    <t>sreenivasan</t>
  </si>
  <si>
    <t>venusglobalcampus@gamil.com</t>
  </si>
  <si>
    <t>Sri Devi</t>
  </si>
  <si>
    <t>Srimati</t>
  </si>
  <si>
    <t>Srithar</t>
  </si>
  <si>
    <t>Stephen</t>
  </si>
  <si>
    <t>Sumathi</t>
  </si>
  <si>
    <t>Tamilarasan</t>
  </si>
  <si>
    <t>SWAMI VIVEKANANDA</t>
  </si>
  <si>
    <t>uma maheshwari</t>
  </si>
  <si>
    <t>Swamivivekanada@gmail.com</t>
  </si>
  <si>
    <t>Wilfred</t>
  </si>
  <si>
    <t xml:space="preserve">E. MAIL ID </t>
  </si>
  <si>
    <t>SEP18-REQ</t>
  </si>
  <si>
    <t>SEP19-REQ</t>
  </si>
  <si>
    <t xml:space="preserve">MAHATMA GANDHI SCHOOL </t>
  </si>
  <si>
    <t xml:space="preserve">MRS. PODNA </t>
  </si>
  <si>
    <t xml:space="preserve">ST. VINCENT SCHOOL </t>
  </si>
  <si>
    <t>MR. PHILIPS</t>
  </si>
  <si>
    <t>SEP23-SAMPLING IN JAN.</t>
  </si>
  <si>
    <t>SEP23-REQ</t>
  </si>
  <si>
    <t xml:space="preserve">ST. JOSPEH ANGLO INDIAN </t>
  </si>
  <si>
    <t>SEP23-SAMPLING IN APRIL.</t>
  </si>
  <si>
    <t xml:space="preserve">VIGNESH RAJA </t>
  </si>
  <si>
    <t xml:space="preserve">MR. LAKSHMI </t>
  </si>
  <si>
    <t>SEP24-SAMPLING IN MARCH.</t>
  </si>
  <si>
    <t>SEP24-REQ</t>
  </si>
  <si>
    <t>SEP24-SAMPLING IN FEB.</t>
  </si>
  <si>
    <t xml:space="preserve">CAMPION ANGLO </t>
  </si>
  <si>
    <t>THOMAS</t>
  </si>
  <si>
    <t>SEP24-SAMPLING IN JAN.</t>
  </si>
  <si>
    <t xml:space="preserve">BALAJI </t>
  </si>
  <si>
    <t xml:space="preserve">DR. SAKHUNTHALA </t>
  </si>
  <si>
    <t xml:space="preserve">SARADHA CBSE SCHOOL </t>
  </si>
  <si>
    <t>SEP26-SAMPLING IN JAN.</t>
  </si>
  <si>
    <t>SEP26-REQ</t>
  </si>
  <si>
    <t xml:space="preserve">CHARAN MAT SCHOOL </t>
  </si>
  <si>
    <t xml:space="preserve">MR. UDHAYA KUMAR </t>
  </si>
  <si>
    <t>SEP27-REQ</t>
  </si>
  <si>
    <t xml:space="preserve">ARNOLD SCHOOL </t>
  </si>
  <si>
    <t xml:space="preserve">ST. JOSEPH N/P </t>
  </si>
  <si>
    <t xml:space="preserve">SEP27-SAMPLING IN APRIL. </t>
  </si>
  <si>
    <t xml:space="preserve">ST. JAMES ACADEMY </t>
  </si>
  <si>
    <t>SEP30-SAMPLING IN JAN.</t>
  </si>
  <si>
    <t>SEP30-REQ</t>
  </si>
  <si>
    <t>SEP30-REQ
SEP25-REQ</t>
  </si>
  <si>
    <t>OCT01-REQ</t>
  </si>
  <si>
    <t xml:space="preserve">CARE INT SCHOOL </t>
  </si>
  <si>
    <t xml:space="preserve">KNMS </t>
  </si>
  <si>
    <t xml:space="preserve">OCT05-SMAPLING IN NOV. </t>
  </si>
  <si>
    <t>OCT05-REQ</t>
  </si>
  <si>
    <t xml:space="preserve">STAR SCHOOL </t>
  </si>
  <si>
    <t>AKSHARA YOUNG KIDS</t>
  </si>
  <si>
    <t>OCT09-DISCUSS ABUT ORDER.</t>
  </si>
  <si>
    <t xml:space="preserve">INDIAN MARTICULAR SCHOOL </t>
  </si>
  <si>
    <t xml:space="preserve">SALIJA BAHNU </t>
  </si>
  <si>
    <t xml:space="preserve">THANJAUR </t>
  </si>
  <si>
    <t>04362-247680</t>
  </si>
  <si>
    <t xml:space="preserve">ALWIN MATRIC SCHOOL </t>
  </si>
  <si>
    <t xml:space="preserve">KRISHNA PLAY SCHOOL </t>
  </si>
  <si>
    <t xml:space="preserve">THANJAVUR </t>
  </si>
  <si>
    <t>OCT14-REQ</t>
  </si>
  <si>
    <t>ANKUR VIDYALAYA</t>
  </si>
  <si>
    <t>OCT15-SAMPLING IN JAN.</t>
  </si>
  <si>
    <t>OCT15-REQ</t>
  </si>
  <si>
    <t>OCT15-REQ
SEP25-REQ</t>
  </si>
  <si>
    <t>SAS VIDYALAYA</t>
  </si>
  <si>
    <t xml:space="preserve">CBSE </t>
  </si>
  <si>
    <t xml:space="preserve">OCT15-SAMPLING IN DEC END. </t>
  </si>
  <si>
    <t>OCT22-DETAIL COLLECT. 
SEP19-SAMPLING IN MARCH.</t>
  </si>
  <si>
    <t>OCT24-SCHOOL VST.
SEP23-SAMPLING IN MARCH.</t>
  </si>
  <si>
    <t>OCT24-DETAIL COLLECT</t>
  </si>
  <si>
    <t>OCT24-MATH , HINDI , SCI 6-8</t>
  </si>
  <si>
    <t>OCT26-REQ</t>
  </si>
  <si>
    <t>OCT28-SCHOOL VST.
OCT24-SCHOOL VST.
OCT15-SAMPLING IN FEB.
SEP25-SAMPLING IN MARCH.</t>
  </si>
  <si>
    <t>VAGESHA VIDYA SHRAM</t>
  </si>
  <si>
    <t>OCT29-SAMPLING IN JAN. 
OCT07-VST FOR DISCUSSION.
SEP26-SAMPLING IN FEB.</t>
  </si>
  <si>
    <t>OCT29-REQ
SEP26-REQ</t>
  </si>
  <si>
    <t>NAGAPATTINAM</t>
  </si>
  <si>
    <t>ARIYALUR</t>
  </si>
  <si>
    <t>MAYILADUTHURAI</t>
  </si>
  <si>
    <t>NAGAPATTINUM</t>
  </si>
  <si>
    <t>THANJUR</t>
  </si>
  <si>
    <t xml:space="preserve">TIRUCHIRAPPALLI / TRICHY </t>
  </si>
  <si>
    <t>NOV02-REQ
SEP28-REQ
SEP20-REQ</t>
  </si>
  <si>
    <t>DEC02-REQ
SEP27-REQ</t>
  </si>
  <si>
    <t>NOV02-SAMPLING IN DEC. 
OCT17-VST NOV END.
OCT04-VST FOR ORDER.</t>
  </si>
  <si>
    <t>NOV02-REQ</t>
  </si>
  <si>
    <t>SARASWATI VIDYALAYA</t>
  </si>
  <si>
    <t>VIJAY VIDYALAYA</t>
  </si>
  <si>
    <t xml:space="preserve">NOV04-DISCUSS OUR TITLES. </t>
  </si>
  <si>
    <t xml:space="preserve">ST. PAUL CBSE SCHOOL </t>
  </si>
  <si>
    <t xml:space="preserve">NOV05-DISCUSS OUR TITLES. </t>
  </si>
  <si>
    <t xml:space="preserve">SAKTHI SAI MATRIC SCHOOL </t>
  </si>
  <si>
    <t>NOV11-REQ</t>
  </si>
  <si>
    <t xml:space="preserve">STAR MATRIC SCHOOL </t>
  </si>
  <si>
    <t xml:space="preserve">NOV11-SAMPLING IN MARCH. </t>
  </si>
  <si>
    <t>VETHI VINAYAKA</t>
  </si>
  <si>
    <t xml:space="preserve">TNPL CBSE </t>
  </si>
  <si>
    <t xml:space="preserve">NOV-20 WANT SPECIMEN IN DEC END
OCT28-SCHOOL VST.
OCT18-COLLECT DETAILS. </t>
  </si>
  <si>
    <t>NOV-20 REQ</t>
  </si>
  <si>
    <t xml:space="preserve">LOTUS KIDS </t>
  </si>
  <si>
    <t>NOV-20 WANT SAMPLING JAN FIRST WEEK</t>
  </si>
  <si>
    <t>NOV-20 KEY BOOK
NOV04-REQ
SEP26-REQ</t>
  </si>
  <si>
    <t>NOV-20 REQ
NOV04-REQ
OCT07-REQ</t>
  </si>
  <si>
    <t>KVBOA MATRIC SCHOOL</t>
  </si>
  <si>
    <t>NOV-21 REQ 6-8TH  BOOKS
OCT14-REQ</t>
  </si>
  <si>
    <t>NOV-21 SMESTER BOOKS 1-5TH
NOV05-REQ</t>
  </si>
  <si>
    <t>NOV-21 NON CARE TITLES
NOV05-REQ</t>
  </si>
  <si>
    <t>VIDYA PARTHI</t>
  </si>
  <si>
    <t xml:space="preserve">NOV-21 WANT SAMPLING IN DEC END </t>
  </si>
  <si>
    <t xml:space="preserve">NOV-21 NON CARE TITLE </t>
  </si>
  <si>
    <t>NOV-26 LKG, UKG
NOV11-REQ</t>
  </si>
  <si>
    <t>NOV-26 WANT SAMPLING IN JAN
NOV11-SAMPLING IN JAN. 
OCT16-VST &amp; MEET INCHANEG. 
OCT07-F.UP VST.</t>
  </si>
  <si>
    <t>NOV-26 REQ
NOV11-REQ</t>
  </si>
  <si>
    <t>NOV-26 WANT SAMPLING IN JAN 
NOV11-SAMPLING IN DEC END.</t>
  </si>
  <si>
    <t>NOV-21 REQ
NOV11-REQ</t>
  </si>
  <si>
    <t>PUDUKKOTTAI</t>
  </si>
  <si>
    <t xml:space="preserve">MOUNT ZION </t>
  </si>
  <si>
    <t>PUDUKOTTAI</t>
  </si>
  <si>
    <t xml:space="preserve">DELHI PUBLIC SCHOOL </t>
  </si>
  <si>
    <t>VAIRAM</t>
  </si>
  <si>
    <t xml:space="preserve">ST. VINCENT ICSE </t>
  </si>
  <si>
    <t>CARMEL RANI CBSE</t>
  </si>
  <si>
    <t>NOV-22 WANT SAMLING IN JAN 2ND WEEK</t>
  </si>
  <si>
    <t>NOV-22 WANT SAMPLING IN JAN</t>
  </si>
  <si>
    <t>NOV-22 REQ</t>
  </si>
  <si>
    <t>NOV-22 WANT SAMPLING IN FEB</t>
  </si>
  <si>
    <t xml:space="preserve">NOV-22 REQ NON CARE TITLE </t>
  </si>
  <si>
    <t>NOV02-SAMPLING November end</t>
  </si>
  <si>
    <t>NOV06-REQ</t>
  </si>
  <si>
    <t>NOV07-REQ</t>
  </si>
  <si>
    <t>NOV18-REQ</t>
  </si>
  <si>
    <t>NOV19- Books are seeing
OCT29-ORDER F.UP VST.</t>
  </si>
  <si>
    <t>NOV19-REQ
NOV07-REQ
SEP20-REQ</t>
  </si>
  <si>
    <t>PP</t>
  </si>
  <si>
    <t>NOV27-REQ
NOV25-REQ
NOV19-REQ
NOV18-REQ
NOV16-REQ
NOV12-REQ
NOV07-REQ</t>
  </si>
  <si>
    <t>NOV28-Books finalize December 2nd week
NOV23-Books are seeing</t>
  </si>
  <si>
    <t>NOV30-Books wanted after February</t>
  </si>
  <si>
    <t>NOV30-REQ</t>
  </si>
  <si>
    <t>DEC02-Semester books
NOV23-RE
OCT08-REQ</t>
  </si>
  <si>
    <t>DEC02-Map practice approach</t>
  </si>
  <si>
    <t>DEC03-REQ</t>
  </si>
  <si>
    <t>DEC04-REQ
NOV-22 REQ NON CARE BOOK</t>
  </si>
  <si>
    <t>Muvendar school</t>
  </si>
  <si>
    <t>Pudukkottai</t>
  </si>
  <si>
    <t>Ganeshan</t>
  </si>
  <si>
    <t>DEC04-REQ</t>
  </si>
  <si>
    <t xml:space="preserve">DEC05-Semester books 1to 5 patterns </t>
  </si>
  <si>
    <t>DEC05-SPEC. GVN.
NOV25-Books wanted on December
NOV23- December 2nd week
OCT08-SAMPLING IN JAN.</t>
  </si>
  <si>
    <t>DEC05-REQ</t>
  </si>
  <si>
    <t>DEC06-Kg books, hindi books,gk, grammar</t>
  </si>
  <si>
    <t>DEC06-SPEC. GVN.</t>
  </si>
  <si>
    <t>DEC06-Term books, computer, hindi books</t>
  </si>
  <si>
    <t xml:space="preserve">DEC06-Ncert work book </t>
  </si>
  <si>
    <t>DEC06-REQ</t>
  </si>
  <si>
    <t>Mr. chakco
Nithya</t>
  </si>
  <si>
    <t>DEC10-Sanskrit books</t>
  </si>
  <si>
    <t>Mrs.Kirthika
SHANTHI</t>
  </si>
  <si>
    <t>DEC10-Gk books and value education</t>
  </si>
  <si>
    <t>Vivekananda vidyalaya</t>
  </si>
  <si>
    <t>Thenmozhi</t>
  </si>
  <si>
    <t>DEC10-English &amp; maths assignment 1to3.</t>
  </si>
  <si>
    <t>DEC11-1 to 5 rise and shine term book</t>
  </si>
  <si>
    <t xml:space="preserve">DEC11-REQ
NOV-26 NON CARE </t>
  </si>
  <si>
    <t>DEC12-gk 1to8
NOV23-Grammar given
NOV13-Basic English grammar and composition</t>
  </si>
  <si>
    <t>DEC12-Computer AI books 
DEC03-Computer AI 6to8</t>
  </si>
  <si>
    <t>DEC16-kg&amp; subject books
DEC15-REQ
DEC03-Semester books</t>
  </si>
  <si>
    <t>DEC17-REQ
NOV04-REQ</t>
  </si>
  <si>
    <t>DEC18-*Computer books 1to5
DEC10-Computer AI 9&amp;10
DEC02-Grammar 1to8 Gk 1 to 8</t>
  </si>
  <si>
    <t>DEC18-REQ</t>
  </si>
  <si>
    <t>Servite</t>
  </si>
  <si>
    <t>Therasa</t>
  </si>
  <si>
    <t>DEC18-REQ
SEP23-REQ</t>
  </si>
  <si>
    <t xml:space="preserve">DEC19-Map practice 9and 10&amp; hindi </t>
  </si>
  <si>
    <t>DEC19-Hindi books
DEC07-Hindi , subject 6to8,art and craft</t>
  </si>
  <si>
    <t>DEC19-EVS books 1&amp;2
DEC02-Let's talk 1 to 5</t>
  </si>
  <si>
    <t>MALAR</t>
  </si>
  <si>
    <t xml:space="preserve">DEC23-SAMPLING IN JAN. </t>
  </si>
  <si>
    <t>DEC23-REQ</t>
  </si>
  <si>
    <t>SANKARA</t>
  </si>
  <si>
    <t>VETRIVINAYAGA</t>
  </si>
  <si>
    <t xml:space="preserve">Samiappan </t>
  </si>
  <si>
    <t xml:space="preserve">DEC24-REQ
DEC16-REQ
DEC13-REQ
DEC02-REQ
SEP30-REQ
SEP21-REQ
</t>
  </si>
  <si>
    <t>DEC24-REQ
DEC15-REQ</t>
  </si>
  <si>
    <t>DEC27-REQ
NOV29-REQ
NOV25-REQ
NOV12-REQ</t>
  </si>
  <si>
    <t>DEC27-REQ
DEC18-REQ
DEC03-REQ
SEP24-REQ</t>
  </si>
  <si>
    <t>DEC27-REQ
DEC26-REQ
NOV29-REQ
NOV19-REQ
NOV12-REQ
SEP25-REQ</t>
  </si>
  <si>
    <t>DEC28-REQ
NOV29-REQ</t>
  </si>
  <si>
    <t>DEC30-SAMPLING IN JAN.</t>
  </si>
  <si>
    <t>DEC30-REQ</t>
  </si>
  <si>
    <t xml:space="preserve">DEC30-WANT SPEC. </t>
  </si>
  <si>
    <t xml:space="preserve">DEC30-SAMPLE BOOK </t>
  </si>
  <si>
    <t>SAKTHI SAI</t>
  </si>
  <si>
    <t>DEC31-REQ
DEC18-REQ</t>
  </si>
  <si>
    <t>JAN02-REQ</t>
  </si>
  <si>
    <t>Monfort</t>
  </si>
  <si>
    <t>Arulappan</t>
  </si>
  <si>
    <t>JAN03-REQ</t>
  </si>
  <si>
    <t>Mrm</t>
  </si>
  <si>
    <t>JAN04-REQ
DEC24-REQ
OCT08-NCERT WORK BOOK 
OCT01-REQ</t>
  </si>
  <si>
    <t>Leonardi</t>
  </si>
  <si>
    <t>JAN04-Subject books,kg books
DEC31-REQ
DEC16-Kg books and 7and 8
DEC15-REQ
NOV27-REQ
NOV18-REQ
NOV13-REQ
NOV07-REQ
OCT01-REQ
SEP30-REQ
SEP20-REQ</t>
  </si>
  <si>
    <t xml:space="preserve">JAN04-9&amp;10 map book
</t>
  </si>
  <si>
    <t xml:space="preserve">JAN04-SPEC. GVN.
DEC10-WANT SPE.C 
OCT18-COLLECT THE DETAILS. 
OCT08-VST AFTER POOJA. </t>
  </si>
  <si>
    <t>JAN06-Given patterns semester books 1to5, speak and write 1to 8</t>
  </si>
  <si>
    <t>JAN06-Social studies 1to8, science 1to8, maths 6to8</t>
  </si>
  <si>
    <t>JAN06-January end wanted 
NOV-21 WANT SAMPLING IN JAN END 
OCT19-SAMPLING IN JAN.
OCT04-VST FOR ORDER.</t>
  </si>
  <si>
    <t>JAN06-REQ
NOV-21 REQ</t>
  </si>
  <si>
    <t>SOFTWARE</t>
  </si>
  <si>
    <t>JAN07-Computer 1to8, hindi books 1to5
JAN04-6 to 8 subject books</t>
  </si>
  <si>
    <t>Hans rover</t>
  </si>
  <si>
    <t>Jacqueline</t>
  </si>
  <si>
    <t>JAN08-REQ</t>
  </si>
  <si>
    <t>Golden gates</t>
  </si>
  <si>
    <t>Gomathi</t>
  </si>
  <si>
    <t>JAN08-Aptitude ace</t>
  </si>
  <si>
    <t>JAN08-SPEC. GVN.</t>
  </si>
  <si>
    <t>JAN08-Hindi,gk, computer books 1to8</t>
  </si>
  <si>
    <t>JAN08-SPEC. GVN.
DEC30-SAMPLING IN JAN.</t>
  </si>
  <si>
    <t>JAN08-computer books 1to8</t>
  </si>
  <si>
    <t>JAN08-Hindi books 1to8, grammar 1to8</t>
  </si>
  <si>
    <r>
      <t xml:space="preserve"> THUNJAVUR, </t>
    </r>
    <r>
      <rPr>
        <b/>
        <sz val="18"/>
        <color rgb="FFFF0000"/>
        <rFont val="Calibri"/>
        <family val="2"/>
        <scheme val="minor"/>
      </rPr>
      <t>KUMBAKONNAM</t>
    </r>
  </si>
  <si>
    <t>JAN09-REQ</t>
  </si>
  <si>
    <t>Karthi vidyalaya</t>
  </si>
  <si>
    <t>Ambikapathi</t>
  </si>
  <si>
    <t>JAN09-Hindi books 1to8, aura EVs , innovative mathematics 6to8</t>
  </si>
  <si>
    <t>St.antonys matric</t>
  </si>
  <si>
    <t>Radha Krishnan</t>
  </si>
  <si>
    <t>JAN09-Grammar 1to8, gk 1to8, speak and write 1to8</t>
  </si>
  <si>
    <t>JAN10-REQ
SEP24-REQ</t>
  </si>
  <si>
    <t>JAN10-February 2nd week wanted
DEC12-Books selection after February
SEP25-SAMPLING IN MARCH.</t>
  </si>
  <si>
    <t>JAN10-REQ
SEP25-REQ</t>
  </si>
  <si>
    <t>JAN10-Hindi 1to8</t>
  </si>
  <si>
    <t>JAN11-Conquer english 1to8, science 1to8, social 1to8, maths 1to8</t>
  </si>
  <si>
    <t xml:space="preserve">JAN11-SPEC. GVN,.
JAN04-SAMPLING AFTER PONGAL.
DEC24-January month asked samples 
OCT29-DETAIL COLLECT.
OCT22-VST IN NOV. 
OCT15-MEET INCHARGE.
OCT08-SCHOOL WANT SPEC. 
OCT01-SAMPLING IN DEC. 
SEP20-VST AFTER PONGAL. </t>
  </si>
  <si>
    <t>JAN13-REQ
NOV13-REQ
SEP19-REQ</t>
  </si>
  <si>
    <t xml:space="preserve">JAN17-REQ
DEC24-REQ
DEC19-Subject books 6to8
DEC03-Books asked 6to8 </t>
  </si>
  <si>
    <t>JAN18-REQ
DEC12-REQ
NOV16-REQ</t>
  </si>
  <si>
    <t>JAN18-COMPUTER 
JAN10-REQ
SEP20-REQ</t>
  </si>
  <si>
    <t>JAN20-Speak and write 1to8
JAN07-Rise and
shine kg books</t>
  </si>
  <si>
    <t>JAN20-Science 6to8, social 6to8, maths 6to8, english 6to8, grammar 1to8.
JAN11-Kg books, patterns semester 1 to 5,</t>
  </si>
  <si>
    <t>JAN20- term book</t>
  </si>
  <si>
    <t>JAN21-Conquer english 1to8, science 7to8, speak and write 1to8, hindi books 1to8, know it now 1to8, grammar 1to8</t>
  </si>
  <si>
    <t>JAN21-physical education books
NOV09-REQ
SEP23-REQ</t>
  </si>
  <si>
    <t>JAN21-Rise and shine term 1to5, drawing Ato5.</t>
  </si>
  <si>
    <t>JAN22-Grammar 1to8, science 6to8, speak and write 1to5, hindi writting 1to5, english english 1to8</t>
  </si>
  <si>
    <t>JAN23-Ncert assignment 6to8, English, science, maths</t>
  </si>
  <si>
    <t>Karpaga vinayaga</t>
  </si>
  <si>
    <t>BANU</t>
  </si>
  <si>
    <t>JAN24-Last year order no changes
OCT26-COLLECT DETAILS. 
OCT09-F.UP VST.</t>
  </si>
  <si>
    <t>JAYA</t>
  </si>
  <si>
    <t>JAN24-NO CHANGE.</t>
  </si>
  <si>
    <t>JAN24-REQ</t>
  </si>
  <si>
    <t>JAN24-Semester books 1to5</t>
  </si>
  <si>
    <t>Maxwell</t>
  </si>
  <si>
    <t>Dinesh Kumar</t>
  </si>
  <si>
    <t>JAN24-Know it now 1to5, speak and write 1to5, easy computer 1to8</t>
  </si>
  <si>
    <t>JAN25-Kg books
JAN06-Science 1to8, social 1to5, english 1to8</t>
  </si>
  <si>
    <t>JAN27-REQ
JAN21-REQ
SEP21-REQ</t>
  </si>
  <si>
    <r>
      <t xml:space="preserve">THUNJAVUR , </t>
    </r>
    <r>
      <rPr>
        <b/>
        <sz val="18"/>
        <color theme="1"/>
        <rFont val="Calibri"/>
        <family val="2"/>
      </rPr>
      <t>KUMBAKONAM</t>
    </r>
    <r>
      <rPr>
        <b/>
        <sz val="18"/>
        <color rgb="FFFF0000"/>
        <rFont val="Calibri"/>
        <family val="2"/>
      </rPr>
      <t xml:space="preserve">  NEW</t>
    </r>
  </si>
  <si>
    <t>SE12-F.UP VST.</t>
  </si>
  <si>
    <t>MR. SHANMUGA SUNDARAM
JOINING - 16/09/24</t>
  </si>
  <si>
    <t>JAN29-Science lab manual 9&amp;10</t>
  </si>
  <si>
    <t xml:space="preserve">JAN29-SPEC GVN.
JAN08-SAMPLING AFTER PONGAL. </t>
  </si>
  <si>
    <t>JAN29-Order finalized
JAN08-SPEC. GVN.</t>
  </si>
  <si>
    <t>Christ the King</t>
  </si>
  <si>
    <t>Amutha rani</t>
  </si>
  <si>
    <t>JAN29-English, maths assignment 1to3, rise and shine term book 4&amp;5</t>
  </si>
  <si>
    <t>JAN29-SPEC. GVN.</t>
  </si>
  <si>
    <t>JAN30-Hindi writing 1to8,kavya hindi 1to8,rise and shine kg books</t>
  </si>
  <si>
    <t>JAN30-REQ
JAN07-REQ
DEC05-REQ
NOV08-REQ</t>
  </si>
  <si>
    <t>JAN30-School visit for order status
DEC02-SAMPLING DEC END.
SEP27-SAMPLING IN JAN.</t>
  </si>
  <si>
    <t>Joseph Anglo Indian</t>
  </si>
  <si>
    <t>Nancy lourdhu marry</t>
  </si>
  <si>
    <t>FEB01-REQ
JAN27- kg books</t>
  </si>
  <si>
    <t>FEB01-REQ
JAN17-REQ
SEP30-REQ
SEP21-REQ</t>
  </si>
  <si>
    <t>FEB03-Basic english grammar 1to5</t>
  </si>
  <si>
    <t xml:space="preserve">FEB03-SPEC. GVN.
JAN03-DIGITAL CONTENT GVN.
DEC04-Discuss our title
NOV-22 WANT SAMPLING IN DEC 2ND WEEK </t>
  </si>
  <si>
    <t>FEB04-Basic grammar 1to8
JAN24-Rise and shine term book 1to5, speak and write 1to8</t>
  </si>
  <si>
    <t>FEB04-SPEC. GVN.
JAN24-SPEC. GVN</t>
  </si>
  <si>
    <t>FEB04-Rise and shine term book 1to5,smart english 6to8, maths 6to8, science 6to8, social 6to8
JAN24-Easy computer 1to8, value education 1to8, speak and write 1to8, drawing Ato5,</t>
  </si>
  <si>
    <t>CS MATRIC</t>
  </si>
  <si>
    <t>Vasanthi</t>
  </si>
  <si>
    <t>FEB04-My favourite gk 1to8, creative hands Ato5, speak and write 1to5,, computer genius 1to5</t>
  </si>
  <si>
    <t>FEB05-Health and physical education</t>
  </si>
  <si>
    <t>JAN22-REQ
NOV13-REQ
SEP28-REQ
NOV08-REQ
SEP18-REQ</t>
  </si>
  <si>
    <t>FEB06-Order finished
DEC27-Books not finalized</t>
  </si>
  <si>
    <t>FEB07-Basic english grammar 1to8, creative hands Ato5, favourite gk 1to8
JAN29-Rise and shine term book 1to5, hindi hand writting 1to8.</t>
  </si>
  <si>
    <t>NOV28-REQ
NOV08-REQ
SEP19-REQ</t>
  </si>
  <si>
    <t>FEB07-REQ
JAN13-REQ
NOV12-REQ</t>
  </si>
  <si>
    <t>FEB07-REQ
JAN23-REQ
JAN10-REQ
DEC05-REQ</t>
  </si>
  <si>
    <t>FEB10-REQ
FEB06-REQ
JAN31-REQ
JAN17-REQ
SEP27-REQ</t>
  </si>
  <si>
    <t>FEB10-Rise and shine kg books, 1to5 rise and shine term books, basic english grammar 1to8.</t>
  </si>
  <si>
    <t>FEB12-Rise and shine term book 1to5,mili Tamil handwriting 1to5, cursive writing A to 5</t>
  </si>
  <si>
    <t>SHARMILA GODDESS SM MATRIC SCHOOL</t>
  </si>
  <si>
    <t>Pandiyarajan</t>
  </si>
  <si>
    <t xml:space="preserve">FEB12-Easy Computer 1to8, know it now gk 1to8, speak and write 1to5 </t>
  </si>
  <si>
    <t>FEB12-Kg term book</t>
  </si>
  <si>
    <t>MS. RAFIA</t>
  </si>
  <si>
    <t>FEB12-Non core books given computer,gk ,</t>
  </si>
  <si>
    <t xml:space="preserve">FEB12-Kg books wanted </t>
  </si>
  <si>
    <t>FEB13-Computer, cursive writing, Tamil handwriting
DEC10-REQ
NOV16-REQ</t>
  </si>
  <si>
    <t>FEB13-REQ
FEB01-REQ
JAN27-REQ</t>
  </si>
  <si>
    <t>FEB13-REQ
JAN11-REQ</t>
  </si>
  <si>
    <t>FEB14-Know it now gk 1to4
JAN02-Rise and shine kg books</t>
  </si>
  <si>
    <t>FEB14-Speak and write 1to8</t>
  </si>
  <si>
    <t>FEB14-Speak and write 1to8, inners circle 1to8, hindi saras hindi 1to5, computer genius 1to8
JAN28-Speak and write 1to8, gk 1to8, grammar 1to8, assignment 1to3 english, maths</t>
  </si>
  <si>
    <t>FEB14-SPEC. GVN.
JAN28-SPEC. GVN.
NOV-26 WANT SAMPLING IN DEC
NOV11-SAMPLING IN JAN.</t>
  </si>
  <si>
    <t>FEB14-Speak and write 1to8,smart english 6&amp;7, hindi chandhan 1to8.</t>
  </si>
  <si>
    <t xml:space="preserve">FEB15-Samples asked march 2nd week
SEP19-LST FINAL IN APRIL. </t>
  </si>
  <si>
    <t>FEB15-REQ</t>
  </si>
  <si>
    <t>FEB15-Nai Kiran hindi 1to8.
FEB05-English conquer 1to8, science 6to8, maths 6to8, basic english grammar 1to8.</t>
  </si>
  <si>
    <t>KARAIKAL</t>
  </si>
  <si>
    <r>
      <t xml:space="preserve">KARAIKAL  </t>
    </r>
    <r>
      <rPr>
        <b/>
        <sz val="18"/>
        <color rgb="FFFF0000"/>
        <rFont val="Calibri"/>
        <family val="2"/>
      </rPr>
      <t>NEW</t>
    </r>
  </si>
  <si>
    <t>FEB17-Order not finalized
JAN25-Books not finalized
JAN06-SPEC. GVN LST FINAL AFTER PONGAL.
NOV-21 WANT SPECIMEN IN DEC END
NOV05-SAMPLING NOV END.
OCT14-F.UP VST.</t>
  </si>
  <si>
    <t>FEB17-Order not finalized
JAN25-SPEC. GVN.
JAN06-SPEC. GVN.
NOV-21  WANT SPECIMEN IN FEB 2ND WEEK
NOV05-SAMPLING IN FEB.
OCT19-SAMPLING IN JAN.
OCT04-VST FOR ORDER.</t>
  </si>
  <si>
    <t>FEB17-Order not finalized
JAN06-SPEC. GVN.
NOV-21 WANT SAMPLING IN DEC END
OCT14-SAMPLING NOV END.</t>
  </si>
  <si>
    <t xml:space="preserve">FEB17-Last year order no changes
OCT14-SAMPLING IN DEC. </t>
  </si>
  <si>
    <t>FEB18-Rise and shine kg books
FEB13-Candy writing books, mili Tamil handwriting.rise and shine kg books
FEB07-Kg books rise and shine.</t>
  </si>
  <si>
    <t>FEB19-Appittude ace1to5
FEB07-Rashmi hindi 1to8, know it now gk 1to8, hindi writting 1to8, english grammar 1to8,</t>
  </si>
  <si>
    <t>FEB20-Drawing Ato5, speak and write 1to5</t>
  </si>
  <si>
    <t>FEB20-Speak and write 1to8, know it now 1to8
FEB15-Speak and write 1to8, know it now gk 1to8, hindi books kavya hindi 1to8</t>
  </si>
  <si>
    <t>FEB21-Speak and write 1to8, mili Tamil handwriting 1to5, enjoy with colour Ato5,</t>
  </si>
  <si>
    <t xml:space="preserve">FEB25-Modern science and technology 1to5
JAN21-Grammar 1to8, science 6to8, conquer english 1to8, kavya hindi 1to8, map practice 6to8.
</t>
  </si>
  <si>
    <t>FEB25-Computer books 9and10
FEB10-6th social, science,7&amp;8 science
JAN31-Basic english grammar 1to8</t>
  </si>
  <si>
    <t>FEB26-Computer IT books 9&amp;10</t>
  </si>
  <si>
    <t>FEB26-SPEC., GVN.
JAN03-SAMPLING AFTER PUNGAL.</t>
  </si>
  <si>
    <t>FEB26-Gk books 1to8, computer 1to8
FEB03-Speak and write 1to8
JAN23-Speak and write 1to8, grammar 1to8</t>
  </si>
  <si>
    <t>FEB26-SPEC GVN.
FEB03-SPEC. GVN.
JAN23-SPEC. GVN</t>
  </si>
  <si>
    <t>FEB26-Hindi books 1to8
FEB03-Know it now 1to8.
JAN23-Speak and write 1to8, computer books 1to8.</t>
  </si>
  <si>
    <t>FEB26-SPEC. GVN
FEB03-SPEC. GVN.
JAN23-SPEC. GVN.
JAN03-SAMPLING JAN 2ND WEEK.</t>
  </si>
  <si>
    <t>FEB26-Speak and write 1to8, know it now gk 1to8
FEB03-Speak and write 1to8, hindi books 1to8</t>
  </si>
  <si>
    <t xml:space="preserve">FEB26-SPEC. GVN.
FEB03-SPEC GVN
JAN03-Asked books for non core books
DEC04-SAMPLING DEC 2ND WEEK.
NOV-22 WANT SAMPLING </t>
  </si>
  <si>
    <t xml:space="preserve">FEB27-My favourite book of gk 1to8
FEB21-Know it now 6to8 given
FEB18-Speak and write 1to8, computer genius 1to8
FEB13-Know it now 1to5, </t>
  </si>
  <si>
    <t>FEB28-Think about computer 6to8
FEB18-Know it now 6to8,</t>
  </si>
  <si>
    <t>MAR01-REQ
JAN30-REQ
JAN18-REQ
DEC05-REQ</t>
  </si>
  <si>
    <t xml:space="preserve">MAR04-Order is under process
JAN13-Order finalized
SEP18-SAMPLIN IN NOV / DEC. </t>
  </si>
  <si>
    <t>MAR05-Speak and write 1to5, mili Tamil handwriting 1to5, rise and shine kg books</t>
  </si>
  <si>
    <t>MAR05-SPE.C GVN.</t>
  </si>
  <si>
    <t>MAR05-Last year order no changes
FEB04-No changes this year
OCT09-DISCUSS ABUT ORDER.</t>
  </si>
  <si>
    <t xml:space="preserve">MAR05-NO CHANGE. </t>
  </si>
  <si>
    <t>Jayanthi</t>
  </si>
  <si>
    <t>Tnpl</t>
  </si>
  <si>
    <t>Samiappan</t>
  </si>
  <si>
    <t>Janani</t>
  </si>
  <si>
    <t>MAR07-ORDER UNDER PROCES.</t>
  </si>
  <si>
    <t>MAR10-Know it now gk 1to8
FEB25-Speak and write 1to8, hindi books 1to8,</t>
  </si>
  <si>
    <t>MAR10-Speak and write 1to8, know it now gk 1to8
MAR04-Speak and write 1to8, know it now gk 1to8, computer 1to8, drawing Ato5</t>
  </si>
  <si>
    <t>MAR11-Speak and write 1to8, mili Tamil handwriting 1to5,ace appittude 1to5.</t>
  </si>
  <si>
    <t>MAR12-Rise and shine kg books with out Tamil, enjoy with colour Ato5
MAR03-Rise and shine termbook (kg to 5)</t>
  </si>
  <si>
    <t>Dr.sakunthala</t>
  </si>
  <si>
    <t>Mirdhula</t>
  </si>
  <si>
    <t>MAR12-Speak and write 1to5, grammar 1to5, rise and shine kg books</t>
  </si>
  <si>
    <t>RAJ VIDYALAYA</t>
  </si>
  <si>
    <t>Ms Hemalatha</t>
  </si>
  <si>
    <t>MAR13-Know it now gk 1to8, speak and write 1to8, mili Tamil handwriting 1to5</t>
  </si>
  <si>
    <t>MAR13-SPEC. GVN.</t>
  </si>
  <si>
    <t>MAR 1ST</t>
  </si>
  <si>
    <t>MAR 2ND</t>
  </si>
  <si>
    <t>MAR13-Rise and shine term book 1to5
FEB12-Hindi books saras 1to8, grammar 1to8, inside out gk 1to8</t>
  </si>
  <si>
    <t>MAR13-Know it now gk 1to5, inner circle 1to5, speak and write 1to8</t>
  </si>
  <si>
    <t>MAR13-SPEC. GVN.
NOV06-Discuss our title</t>
  </si>
  <si>
    <t>MAR14-Order is under process</t>
  </si>
  <si>
    <t>MAR14-Know it now gk 6to8, speak and write 1to8.</t>
  </si>
  <si>
    <t>MAR14-SPEC. GVN.</t>
  </si>
  <si>
    <t>MAR14-Ace appittude 1to5, mili Tamil handwriting 1to5, value education 6to8,
FEB03-Speak and write 1to8,</t>
  </si>
  <si>
    <t>MAR14-SPEC. GVN.
FEB03-SPEC. GVN.
DEC04-SAMPLING IN JAN.</t>
  </si>
  <si>
    <t>MAR17-Rise and shine 1std term book and kg books
DEC11-Patterns semester 1 to 5</t>
  </si>
  <si>
    <t>MAR20-Tamil handwriting 1to5, speak and write 1to8, know it now gk 1to8,
MAR13-Rise and shine term book 1to5, speak and write 1to5</t>
  </si>
  <si>
    <t>MAR20-Hindi books 1to8, basic english grammar 1to5, rise and shine term book 1to5</t>
  </si>
  <si>
    <t>MAR20-SPEC. GVN.</t>
  </si>
  <si>
    <t>MAR21-Speak and write 1to8 know it now gk 1to5,</t>
  </si>
  <si>
    <t>MAR21-SPEC. GVN.
DEC06-SAMPLING JAN END.</t>
  </si>
  <si>
    <t>MAR21-Favourite Gk 1to8,my cursive lines Ato5, Tamil handwriting 1to5</t>
  </si>
  <si>
    <t>MAR21-SPEC. GVN.
DEC06-SAMPLING AFTER PONGAL.</t>
  </si>
  <si>
    <t xml:space="preserve">MAR21-Last year order no changes
DEC06-WANT SPEC. </t>
  </si>
  <si>
    <t xml:space="preserve">                                                                                      TOTAL</t>
  </si>
  <si>
    <t>Minerva</t>
  </si>
  <si>
    <t>Mehanathan</t>
  </si>
  <si>
    <t>MAR24-Skill mental maths 1to5 , mili Tamil handwriting 1to5, know it now gk 1to5</t>
  </si>
  <si>
    <t>NATIONAL VIDYALAYA</t>
  </si>
  <si>
    <t>Ms Eswari jayaraman</t>
  </si>
  <si>
    <t>MAR24-Assignment 1to5</t>
  </si>
  <si>
    <t>MAR25-Order is not finalized
FEB20-SPE.C GVN.
FEB15-SPEC. GVN.
DEC07-Books want after pongal</t>
  </si>
  <si>
    <t>MAR26-Basic english grammar 1to5
FEB06-Rise and shine kg books</t>
  </si>
  <si>
    <t xml:space="preserve">MAR29-Speak and write 1to3, Tamil handwriting 1to3, enjoy with colour Ato5 </t>
  </si>
  <si>
    <t>APR01-Know it now gk 1to8
MAR19-Tamil handwriting 1to5, english cursive writing 1to5</t>
  </si>
  <si>
    <t>APR01-Gk 6to8, computer 6to8,
MAR28-GK books 1to8.
MAR18-Speak and write 1to8, hindi writting 1to5
MAR11-Basic english grammar 1to8
MAR03-Speak and write 1to8 computer books 1 to 8</t>
  </si>
  <si>
    <t>APR03-Speak and write 1to8
MAR20-Speak and write 1to5
MAR13-Speak and write 1to8, Ace appittude 1to5.</t>
  </si>
  <si>
    <t xml:space="preserve">APR03-SPEC. GVN.
MAR20-SPEC. GVN.
MAR13-SPEC. GVN.
JAN09-SAMPLING AFTER PONGAL. </t>
  </si>
  <si>
    <t>APR03-Order is finalized
MAR20-Order is under process
MAR13-Order is under process
JAN09-SPEC. GVN.</t>
  </si>
  <si>
    <t>APR03- known about order status
JAN09-Ask after Pongal.</t>
  </si>
  <si>
    <t>APR03-Order is under process
MAR20-SPEC. GVN.
MAR13-SPEC. GVN.
JAN09-Order not finalized</t>
  </si>
  <si>
    <t>APR05-Sanskrit books 1to5
MAR19-Know it now gk 1to8
FEB27-Smart english 1to8 course books and work book
FEB06-EVs 1&amp;2,kavya hindi 1to8, creative hands Ato5, Hindi writing books 1to8.
JAN31-Conquer english 1to5, school 3to5,milli Tamil handwriting 1to5, easy computer 1to8, inside out gk 1to8, value education 1to8</t>
  </si>
  <si>
    <t>APR08-Skilled mental maths 1to5, hindi writting 1to5
APR04-Chavi sulekh mala 1to8, mental maths 1to5
APR01-Hindi writing books 1to8,</t>
  </si>
  <si>
    <t>APR09-Modern Science 6to8, school maths 6to8.
MAR06-Happy faces ABC</t>
  </si>
  <si>
    <t>APR09-Saras hindi 4and 5
FEB14-Saras hindi 3to8
JAN28-hindi 1&amp;2, speak and write 1to8
DEC11-Happy faces lkg,ukg</t>
  </si>
  <si>
    <t>APR09-Speak and write 1to8, mili Tamil handwriting 1to5
MAR07-Social studies 1to5
JAN28-Gk , computer,</t>
  </si>
  <si>
    <t>APR11-Know it now gk 6to8
MAR20-Speak and write 1to5, Tamil handwriting 1to5, enjoy with colour Ato5
MAR05-Speak and write 1to8,gk, 6to8, hindi 1to8 Rashmi, computer books 1to8</t>
  </si>
  <si>
    <t xml:space="preserve">APR11-Order not finalized
JAN24-Samples wanted February end </t>
  </si>
  <si>
    <t>APR11-Order is under process
MAR20-Books are seeing under process
MAR14-School visit and collect details
MAR05-Order is under process
FEB04-SPEC. GVN.
JAN24-SPEC. GVN.
OCT26-VST IN JAN.</t>
  </si>
  <si>
    <t>APR11-Order finished
MAR14-Order is under process
MAR05-Books are seeing under process
FEB04-known about order
OCT26-SAMPLING DEC END.
OCT09-F.UP VST.</t>
  </si>
  <si>
    <t xml:space="preserve">APR12-Enjoy with colour Ato5, mili Tamil handwriting 1to5, rises and shine kg books
APR02-Speak and write 1to5, mili Tamil handwriting 1to5 </t>
  </si>
  <si>
    <t>APR16-Skilled mental maths 1to5
MAR22-Speak and write 1to5, mili Tamil handwriting 1to5.
MAR03-Kg term books, drawing Ato5,gk inside out 1to5</t>
  </si>
  <si>
    <t>APR 1ST</t>
  </si>
  <si>
    <t>APR 2ND</t>
  </si>
  <si>
    <t>APR18-Order is under process
MAR21-Order not finalized under the process
MAR13-SPEC. GVN.
FEB12-SPEC. GVN.</t>
  </si>
  <si>
    <t>APR18-Order is not finalized 
MAR21-Order is under process not finalized
FEB12-SPEC. GVN.</t>
  </si>
  <si>
    <t>APR18-Tamil handwriting 1to5, enjoy with colour Ato5</t>
  </si>
  <si>
    <t xml:space="preserve">APR18-SPEC. GVN.
FEB12-WANT SPEC. </t>
  </si>
  <si>
    <t>APR18- No changes last year order
FEB12-SPEC. GVN WANT MORE.</t>
  </si>
  <si>
    <t>APR18-order follow up
FEB12-SPEC. GVN.</t>
  </si>
  <si>
    <t>APR21-Gk 6to8 
FEB28-Saras hindi book 1to5 
FEB20-Speak and write 1to5, mili Tamil handwriting 1to5</t>
  </si>
  <si>
    <t xml:space="preserve">APR22-ORDER TITLE SLECTED.
SEP27-LST FINAL APRIL. </t>
  </si>
  <si>
    <t>APR22-ORDER UNDER PROCESS. APR01-Order is under process
MAR29-Order is under process 
MAR19-Books not finalized
FEB28-SPE.C GVN.
FEB18-SE.C GVN.
FEB07-Samples wanted February end
JAN13-WANT SPEC. 
NOV12-SAMPLING February end</t>
  </si>
  <si>
    <r>
      <t xml:space="preserve">TIRUCHIRAPPALLI , </t>
    </r>
    <r>
      <rPr>
        <b/>
        <sz val="26"/>
        <color rgb="FFFF0000"/>
        <rFont val="Calibri"/>
        <family val="2"/>
        <scheme val="minor"/>
      </rPr>
      <t>TRICHY</t>
    </r>
  </si>
  <si>
    <t xml:space="preserve">HAPF SCHOOL </t>
  </si>
  <si>
    <t>APR24-DISCUSS ABUT ORDER.</t>
  </si>
  <si>
    <t>MAY05-Easycomputer1to8, AI computer 1to8,
MAR06-Creative hands Ato8,saras hindi 1to8
FEB24-Basic english grammar and composition 1to5
FEB14-Speak and write 1to8, Rashmi hindi 1to8, computer genius 1to8</t>
  </si>
  <si>
    <t>MAY07- english handwriting 1to5
JAN30-Rise and shine term book 1to5,ace appittude 1to5</t>
  </si>
  <si>
    <t xml:space="preserve">MAY12-General visit
APR09-SPEC. GVN.
MAR17-March end only decided
MAR07-SPEC. GVN.
JAN28-SPEC. GVN.
DEC11-SAMPLING IN FEB.
NOV-26 WANT SAMPLING IN FEB
OCT16-VST IN DEC. </t>
  </si>
  <si>
    <t xml:space="preserve">MAY16-phonics books
MAR18-Speak and write 1to5, enjoy with colour Ato5, mili Tamil handwriting 1to5
</t>
  </si>
  <si>
    <t>MAY16-GK books
MAR12-Speak and write 1to8, GK books 1to8, grammar 1to5,
MAR04-Drawing Ato5, mili Tamil handwriting 1to5, speak and write 1to8,</t>
  </si>
  <si>
    <t xml:space="preserve">MAY22-chemistry 9and 10
FEB25-Know it now gk 1to5
FEB10-Innovative social studies 3to5.
JAN11-Innovative mathematics 1to8,EVs aura 1&amp;2,
</t>
  </si>
  <si>
    <t>WORKSHOP</t>
  </si>
  <si>
    <t>PPP</t>
  </si>
  <si>
    <t>JUN03-Sanskrit books
NOV13-Maths, science for(7&amp;8)</t>
  </si>
  <si>
    <t>JUN06-General visit
APR25-DISCUSS ABUT FINALISED.
APR09-Order is under process
MAR06-Order is going under process</t>
  </si>
  <si>
    <t>JUN09-General visit
MAR13-School visit and collect details
JAN09-SPEC. GVN.</t>
  </si>
  <si>
    <t>JUN</t>
  </si>
  <si>
    <t>JUN12- saras hindi book APR05-Speak and write 1to5, mili Tamil handwriting 1to5, ncert assignment english, maths 1to5
MAR22-Know it now gk 1to5
MAR2-Inner circle 1to8, gk 1to8, hindi books 1to8 nai Kiran</t>
  </si>
  <si>
    <t xml:space="preserve">JUN13-follow up
MAY19-General visit
MAR26-known about order status
FEB05-Books not finalized
JAN21-SPEC. GVN.
JAN20-WANT SPEC. 
OCT23-VST IN FEB.
</t>
  </si>
  <si>
    <t>S.
NO.</t>
  </si>
  <si>
    <t>NAME OF SCHOOL /
BOOK SELLERS</t>
  </si>
  <si>
    <t>SUBJECT</t>
  </si>
  <si>
    <t>TEACHER NAME</t>
  </si>
  <si>
    <t>CONTACT NO.</t>
  </si>
  <si>
    <t>EMAIL ID</t>
  </si>
  <si>
    <t>STR.</t>
  </si>
  <si>
    <t>BIO.</t>
  </si>
  <si>
    <t>CHEM.</t>
  </si>
  <si>
    <t>COMP.</t>
  </si>
  <si>
    <t>ENG.
LAN.</t>
  </si>
  <si>
    <t>ENG. 
LIT.</t>
  </si>
  <si>
    <t>GEO.</t>
  </si>
  <si>
    <t>HIN.</t>
  </si>
  <si>
    <t>HIS. &amp; CIV.</t>
  </si>
  <si>
    <t>MATH</t>
  </si>
  <si>
    <t>PHY.</t>
  </si>
  <si>
    <t>SPECIMEN
 GIVEN</t>
  </si>
  <si>
    <t>REQ.</t>
  </si>
  <si>
    <t>DATE OF VISIT 
&amp; COMMENTS</t>
  </si>
  <si>
    <t>REMARKS</t>
  </si>
  <si>
    <t xml:space="preserve">MANI SIR </t>
  </si>
  <si>
    <t>MR. SHANMUGA SUNDARAM  Q. BANK VST 24-25</t>
  </si>
  <si>
    <t>ms.sivakami (PRINCIPAL)</t>
  </si>
  <si>
    <t>PHY, MATH, CHEM, BIO</t>
  </si>
  <si>
    <t xml:space="preserve">CHRIST INT. SCHOOL </t>
  </si>
  <si>
    <t>JUN17-Bring icse question bank</t>
  </si>
  <si>
    <t>JUN17-REQ</t>
  </si>
  <si>
    <t>Cs matric</t>
  </si>
  <si>
    <t>JUN17- next year follow up</t>
  </si>
  <si>
    <t>JUN17-General visit</t>
  </si>
  <si>
    <t>JUN18-English
DEC17-REQ
DEC11-REQ
NOV-26 NONCARE BOOK
NOV11-REQ
SEP26-REQ</t>
  </si>
  <si>
    <t>JUN18-General visit
MAY12-Follow up
FEB14-SPEC. GVN.
JAN28-Books not finalized after February
JAN02-SPEC. GVN.
NOV-20 WANT SAMPLING IN FEB</t>
  </si>
  <si>
    <t xml:space="preserve">JUN24-DISCUSS ABUT Q. BANK F.UP </t>
  </si>
  <si>
    <t>JUN24-Meet principal for follow up
JUN09-collect the payment
MAR24-SPEC. GVN.</t>
  </si>
  <si>
    <t>JUN24-General visit
APR03-Order is finalized
MAR24-SPEC. GVN.</t>
  </si>
  <si>
    <t>JUN24-General visit</t>
  </si>
  <si>
    <t xml:space="preserve">Ms Saroja </t>
  </si>
  <si>
    <t>JUN24-follow up</t>
  </si>
  <si>
    <r>
      <t>JUN25-General visit
JUN20-Asked for digital content installation
MAY30-General visit
MAY29-</t>
    </r>
    <r>
      <rPr>
        <b/>
        <sz val="12"/>
        <color indexed="8"/>
        <rFont val="Calibri"/>
        <family val="2"/>
        <scheme val="minor"/>
      </rPr>
      <t>Work Shop DONE WITH MRS. SARITA</t>
    </r>
    <r>
      <rPr>
        <sz val="12"/>
        <color indexed="8"/>
        <rFont val="Calibri"/>
        <family val="2"/>
        <scheme val="minor"/>
      </rPr>
      <t xml:space="preserve">
MAY22-program and finalize on29 th may
MAY20-Asked for training program 
MAY15-Asked for orientation program
MAY07-</t>
    </r>
    <r>
      <rPr>
        <b/>
        <sz val="12"/>
        <color indexed="8"/>
        <rFont val="Calibri"/>
        <family val="2"/>
        <scheme val="minor"/>
      </rPr>
      <t>Work Shop</t>
    </r>
    <r>
      <rPr>
        <sz val="12"/>
        <color indexed="8"/>
        <rFont val="Calibri"/>
        <family val="2"/>
        <scheme val="minor"/>
      </rPr>
      <t xml:space="preserve"> asked may Last week
APR29-teacher copy GVN
APR28-teacher copy given
APR23-WANT T. MANUL.
APR17-given teachers copies
APR07-Meet principal and given books
JAN20-Books not finalized
JAN10-SPEC. GVN.
DEC31-Books asked January 1st week 
DEC18-SAMPLING IN JAN.</t>
    </r>
  </si>
  <si>
    <r>
      <t>JUN26-follow up
APR15-Order is realised
MAR25-Order not finalized 
MAR10-SPEC. GVN.
MAR04-SPE.C GVN.
JAN30-samples February month end</t>
    </r>
    <r>
      <rPr>
        <b/>
        <sz val="12"/>
        <color indexed="8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  <scheme val="minor"/>
      </rPr>
      <t>JAN07-SAMPLING JAN MNTH.
DEC05-SAMPLING AFTER FEB.
NOV08-SAMPLING FEB END.</t>
    </r>
  </si>
  <si>
    <t>JUN30-Network of physics, chemistry, biology 9&amp;10
MAR10-Innovative physics chemistry biology 6to8
JAN11-Innovative mathematics 1to8, EVs aura 1 and 2, Hindi 1to8.</t>
  </si>
  <si>
    <t>JULY01-follow up</t>
  </si>
  <si>
    <t>JULY01-General visit
NOV06-Wanted samples</t>
  </si>
  <si>
    <t>JULY03-follow up for order
JUN30-SPEC. GVN.
JUN05-General visit
MAY26-General visit
APR23-NOT SLECT OUR TITLES
MAR19-book be decided at march end
MAR10-SPEC. GVN.
FEB28-Books not decided after March 2nd week
JAN11-SPEC. GVN.
DEC27-Samples asked January
NOV29-December month
NOV25-SAMPLING IN JAN.
NOV12-SAMPLING November end
NOV08-December month finalizing
OCT23-VST IN JAN.</t>
  </si>
  <si>
    <t>ms.venmathi (PRINCIPAL)</t>
  </si>
  <si>
    <t>PHY, CHEM, MATH , BIO</t>
  </si>
  <si>
    <t xml:space="preserve">JULY03-Q. BANK GVN.
JUN19-DISCUSS ABUT Q. BANK. </t>
  </si>
  <si>
    <t>JULY04-General visit
DEC12-SPEC. GVN.
DEC03-WANT SPEC. 
OCT19-VST IN NOV. 
SEP24-SAMPLING IN JAN.</t>
  </si>
  <si>
    <t>JULY08-next follow up
JUN20- follow up
MAY17-General visit
JAN16- Order not finalized
JAN07-SPEC. GVN.
JAN04-SPEC. GVN.</t>
  </si>
  <si>
    <t>JULY08- General visit
MAY08-Order finished
APR23-ORDER IS NOT FINALISED.
APR22-ORDER TITLE NOT SLECTED.
APR15-Order not finalized
APR05-Order is under process
MAR27-Order is under process
FEB25-SPEC. GVN.
FEB19-Orders finalized
FEB10-SPEC. GVN
JAN31-WANT SEPC. 
JAN07-Visit for order status
OCT18-VST DEC 1ST WEEK. 
OCT05-VST &amp; MEET OFFICE INCHARGE.</t>
  </si>
  <si>
    <t>JUL</t>
  </si>
  <si>
    <t xml:space="preserve">BIO, CHEM, MATH , PHY </t>
  </si>
  <si>
    <t>Santhanalakshmi Book incharge</t>
  </si>
  <si>
    <t>OFFICE NO 9842284325</t>
  </si>
  <si>
    <t>BIO, MATH , PHY, CHEM</t>
  </si>
  <si>
    <t>Pri.Vijayalakshmi 
PRINCIPAL</t>
  </si>
  <si>
    <t>JUN30-Q. BANK GVN.</t>
  </si>
  <si>
    <t>ENGLISH LANGUAGE</t>
  </si>
  <si>
    <t>ADMINISTRATION OFFICER</t>
  </si>
  <si>
    <t>F.UP</t>
  </si>
  <si>
    <t>JULY01-Q. BANK GVN.</t>
  </si>
  <si>
    <t>Vijayalakshmi vidyalaya</t>
  </si>
  <si>
    <t>Kagithapuram</t>
  </si>
  <si>
    <t xml:space="preserve">ENGLISH LANGUAGE,
 GEOGRAPHY </t>
  </si>
  <si>
    <t xml:space="preserve">Prakasham Principal </t>
  </si>
  <si>
    <t xml:space="preserve">JULY02-Q. BANK GVN. </t>
  </si>
  <si>
    <t>JULY09-General visit
JUN14-Order visit
JUN12-SPEC. GVN.
APR05-SPEC GVN.
MAR22-SPEC. GVN.
MAR12-SPEC. GVN.
JAN22-Wanted subject books
JAN07-School visit
DEC27-SAMPLING IN JAN.
DEC19-SAMPLING IN JAN MNTH.
DEC18-Wanted December end 
DEC03-SAMPLING IN JAN.
OCT03-DISCUSS ABUT ORDER.
SEP24-SAMPLING IN JAN.</t>
  </si>
  <si>
    <t>JULY11-General visit
APR30-Order finished
APR12-SPEC. GVN.
APR02-SPEC GVN.
MAR25- samples April 2ndweek
MAR01-Asked kg books kit
FEB01-Samples wanted march 2nd week
JAN27-WANT SPE.C 
OCT25-VST MAR END.</t>
  </si>
  <si>
    <t>JULY11-General visit
FEB20-No changes this year
JAN10-Samples asked January month end
OCT22-VST IN JAN. 
SEP24-SAMPLING IN MARCH.</t>
  </si>
  <si>
    <t>JULY12-General visit
JUN02-order follow up
APR02-Order finished
FEB27-Order finished
FEB21-Order realised
JAN23-SPEC. GVN.
DEC26-School visit for details
DEC16-WANT SPEC. 
DEC15-SAMPLING IN JAN.
DEC03- WANT SPEC.</t>
  </si>
  <si>
    <t>JULY14-given key answer
JULY03-General visit
JUN02-General visit
MAY21-General visit
MAY14-WANT teacher manual 
MAY10-General visit
MAY02-given key book
JAN27-Order finished
DEC26-School visit for map book order
DEC24-Follow up for order
DEC19-SPEC. GVN.
DEC02-SAMPLING IN DEC.</t>
  </si>
  <si>
    <t xml:space="preserve">JULY15-General visit
JUL01-General visit
FEB04- no changes
JAN24-SPEC. GVN.
OCT26-VST IN DEC. </t>
  </si>
  <si>
    <t xml:space="preserve">JULY15-General visit
FEB20-SPEC. GVN.
JAN24-Not needed books
OCT26-VST IN DEC. </t>
  </si>
  <si>
    <t>JULY15-General visit
APR11-asked about order confirmation
MAR14-School visit and get details of order status
MAR05-Books are seeing under process
FEB04-SPEC. GVN</t>
  </si>
  <si>
    <t>JULY16-General visit
JUN19-DISCUSS about Sanskrit order
JUN05-General visit
JUN03-SPEC. GVN.
MAY31-General visit
MAY19-get details of selected books
NOV19-Discuss with our title
NOV13-SPEC. GVN.
NOV07- Month of December
OCT17-VST IN NOV. 
OCT01-DISCUSS ABUT ORDER.
SEP18-VST AFTER PONGAL.</t>
  </si>
  <si>
    <t>JULY17-next follow up
JUN16-General visit
FEB27-Books are finalized
FEB21-Order finalized
FEB18-SPE.C GVN.
FEB13-SPEC. GVN.
FEB07-SPEC. GVN.
JAN27-Books asked February 1st week
JAN21-Samples wanted January end
OCT10-VST &amp; MEET BOOK INCHARGE/
SEP21-SAMPLING IN MARCH.</t>
  </si>
  <si>
    <t>JULY18-General visit
APR11-SPEC. GVN.
MAR20-SPEC. GVN.
MAR05-SPEC. GVN.</t>
  </si>
  <si>
    <t xml:space="preserve">JULY18-School visit for follow up
JULY01-General visit
JUN17-General visit
FEB04-Books not finalized
JAN24-SPEC. GVN.
OCT09-DISCUSS ABUT BOOKS. </t>
  </si>
  <si>
    <t>JULY23-Meet principal for next year
JULY11-General visit
JULY05-General visit
MAY27-General visit
APR04-Order finished
MAR11-Order is under process
MAR03-Books are under process
FEB21-SPE.C GVN.
FEB10-get details of books
JAN18-SAMPLING JAN END.
DEC12-SAMPLING JAN END.
NOV16-SAMPLING March end
OCT17-VST IN JAN.
OCT10-F.UP VST,.
OCT04-VST IN MARCH.
SEP19-VST IN APRIL</t>
  </si>
  <si>
    <r>
      <t>JULY23-General visit
JULY16-next follow up</t>
    </r>
    <r>
      <rPr>
        <b/>
        <sz val="12"/>
        <color indexed="8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  <scheme val="minor"/>
      </rPr>
      <t>JUN11-General visit
JUN1-General visit
MAY23-follow up
MAY07-SPEC. GVN.
MAR28- Order finalized
MAR11-Order is under process
MAR01-Books are seeing under process
JAN30-SPEC. GVN</t>
    </r>
  </si>
  <si>
    <t>JULY23-General visit
APR08-SPEC. GVN.
APR04-SPEC. GVN.
APR01-SPEC. GVN.
FEB22-School visit and collect details
OCT25-VST FEB END.</t>
  </si>
  <si>
    <t>JULY24-follow up
JAN02-Order follow up
DEC17-Books not decided
DEC11-SPEC. GVN.
OCT16-VST NOV END.
SEP26-SAMPLING IN MARCH.</t>
  </si>
  <si>
    <t>JULY24-General visit
JULY10-Visit school for second follow up
JULY02-General visit
JUN18-WANT SPEC. 
JUN06-General visit
FEB24-No changes for this year
FEB14-SPEC. GVN.
DEC17-SAMPLING JAN END.
DEC11-Books wanted on January 2nd week
NOV-26 WANT SAMPLING 
NOV11-SAMPLING IN DEC. 
OCT07-VST FOR BOOK INCHARGE. 
SEP26-SAPLING IN MARCH.</t>
  </si>
  <si>
    <t>JULY24-General visit
JULY10-Visit school for follow up
JULY02-General visit
APR26-ORDER FINALISED.
APR25-ORDER F.UP VST.
APR09-SPEC. GVN.
MAR17-Teacher are seeing under process
MAR06-SPEC. GVN.
FEB24-School visit and collect details
JAN02- January 2nd week
DEC23-VST AFTER PONGAL.</t>
  </si>
  <si>
    <t>JULY25-General visit
JUN27-General visit
MAY27-GNRAL VST
APR17-Order is under process
MAR29-SPEC. GVN.
MAR10-Books not finalized
JAN18-WANT SPEC, 
JAN10-Samples asked January end
OCT22-SCHOOL VST.
SEP20-SAMPLING FEB LST.</t>
  </si>
  <si>
    <r>
      <t>JULY25-Asked modern science One copy
JULY04-Damage book replace
JUN25-ebook installation
JUN19-get details of defects of books
JUN17-Meet principal for any digital content
JUN10-orders and follow up
MAY14-teacher manual
MAY06-DISCUSS ABUT T. TRAINING.
MAY02-F.UP VST.
APR08-given teachers copies
MAR12-Order finished
MAR08-Order is under process
MAR04-Books not finalized under process
FEB25-SPEC GVN,
FEB17-know about our status of order
JAN21-SPE.C GVN.
JAN17-SAMPLINGA FTER PONGAL. DEC24-</t>
    </r>
    <r>
      <rPr>
        <b/>
        <sz val="12"/>
        <color indexed="8"/>
        <rFont val="Calibri"/>
        <family val="2"/>
        <scheme val="minor"/>
      </rPr>
      <t xml:space="preserve"> </t>
    </r>
    <r>
      <rPr>
        <sz val="12"/>
        <color indexed="8"/>
        <rFont val="Calibri"/>
        <family val="2"/>
        <scheme val="minor"/>
      </rPr>
      <t>Asked subject books</t>
    </r>
    <r>
      <rPr>
        <b/>
        <sz val="12"/>
        <color indexed="8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  <scheme val="minor"/>
      </rPr>
      <t>DEC19-WANT SPEC. 
DEC03-WANT SPEC.</t>
    </r>
  </si>
  <si>
    <t xml:space="preserve">JULY26-Visit school for follow up
JULY12-General visit
JUN27-follow up
MAY31-General visit
MAY03-ORDER FINALISED.
APR19-Order is finalized
APR16-books under process
APR04-April end only decided
MAR26-SPEC. GVN.
FEB13-Books are seeing
FEB22-Books not finalized
FEB06-SPEC. GVN.
JAN22-Samples wanted February end
NOV30-Deciding after February
NOV13-SAMPLING IN FEB.
NOV08-SAMPLING February month
OCT03-VST &amp; MEET BOOK INCHARGE. 
SEP28-SAMPLING IN MARCH.
SEP18-SAMPLING IN APRIL. 
</t>
  </si>
  <si>
    <t>JULY28-Return books
JUN16-answer book GVN
MA24-follow up
FEB05-Order finalized
JAN30-SPEC. GVN.
DEC18-SAMPLING IN JAN MNTH.</t>
  </si>
  <si>
    <t>JULY28-General visit
JULY11-next year follow up
MAY26-follow up
MAY16-General visit
MAY08-General visit 
MAR25-Order is under process
MAR18-Order is under process
MAR10-Order is going process
FEB27-SPEC. GVN.
FEB21-SPEC GVN.
FEB18-SPEC. GVN.
FEB13-SPEC. GVN WANT MORE. JAN31-Samples wanted February 2nd week
DEC10-SAMPLING IN JAN.
NOV16-SAMPLING IN February</t>
  </si>
  <si>
    <t>JULY28-Visit school for next follow up
APR01-SPEC. GVN.
MAR19-SPEC. GVN.
MAR01-Samples asked march 2nd week
JAN30-Samples wanted February 2nd week
JAN18-Samples asked January last week
DEC05-SAMPLING IN FEB.</t>
  </si>
  <si>
    <t>JULY28-GNRAL VST.
JULY14-General visit
JULY08-Visit school for follow up
JUN28-follow up
JUN23-General visit
JUN10-asked for next year promotion
MAY31-Follow up
MAY23-follow up
MAY19-General visit
MAY03-F.UP VST.
DEC18-SPEC. GVN.
DEC10-SPEC. GVN.
DEC02-SPEC. GVN.
NOV28-SAMPLING December 2nd week
NOV02-SAMPLING NOV END. 
OCT30-VST NOV 1ST WEKE. 
OCT23-DISCUSS ABUT BOOKS. 
OCT08-MEET BOOK INCHARGE. 
OCT01-DISCUSS WITH BOOK INCHARGE.
SEP28-SAMPLING IN JAN.
SEP20-SAMPLING IN FEB.</t>
  </si>
  <si>
    <t>JULY29-General visit
JULY03-General visit
JUN13-follow up
MAY19-General visit
APR23-OUR TITLE NOT SLECTED.
FEB15-SPEC. GVN.
FEB05-SPEC. GVN.
DEC28-Asked non core books
DEC18-Samples asked December end
SEP23-SAMPLING IN JAN.</t>
  </si>
  <si>
    <t xml:space="preserve">JULY30-General visit
JUN23-General visit
JUN11-General visit 
MAY21-next year follow up
MAY08-General visit
NOV12-Explain about the books
NOV07-Books are seeing 
OCT24-SPEC. GVN.
OCT08-VST &amp; MEET PRINCIPAL. 
OCT01-SAMPLING OCT END. </t>
  </si>
  <si>
    <t>JULY30-Follow up
JUN23-General visit
JUN05-General visit
MAY13-General visit
JAN27-Order finalized
JAN20-Visit for Assignment order
DEC16-Books Not decided
DEC10-SPEC. GVN.</t>
  </si>
  <si>
    <r>
      <t>JULY30-General visit
JUN30-Visit school for follow up
JUN13-visit for follow up
APR24-ORDER IS FINALISED.
APR21-get details of order status</t>
    </r>
    <r>
      <rPr>
        <b/>
        <sz val="12"/>
        <color indexed="8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  <scheme val="minor"/>
      </rPr>
      <t>APR19-Visit school and get details
APR12-Order is under process
APR01-Order is under process
MAR28-Visit school and get details of order status
MAR18-March end only decided
MAR10-SPEC. GVN.
FEB25-SPEC. GVN.
FEB13-Samples asked march 1st week
JAN11-SAMPLING JAN MNTH.
OCT25-VST IN JAN.</t>
    </r>
  </si>
  <si>
    <t>JULY31-General visit
JULY17- next follow up
JUN26-General visit
JUN02-follow up
MAY07-Order finished
DEC27-Books not decided
DEC16-Books are gothrough
DEC10-SPEC. GVN.
NOV28-Books are seeing
NOV25-December end decide
OCT18-VST NOV END.
OCT05-VST FOR ORDER.</t>
  </si>
  <si>
    <t>JULY31-General visit
JUN26-General visit
JUN12-Asked teacher copy
MAY27-follow up
MAR27- order.apptitude confirmed
MAR22-Books not decided , March end
MAR19-Order is under process
FEB28-Books not decided
FEB19-SPEC. GVN.
FEB07-SPEC. GVN.
FEB06-annual day preparation
DEC05-Books asked after January</t>
  </si>
  <si>
    <t>JULY31-General visit
MAY30-order F.UP VST.
MAY26-DISCUSS BOOK ORDER.
MAY22-SPEC. GVN.
MAY21-WANTSPEC. 
MAY20-follow up
MAY15-follow up
MAY06-DISCUSS teacher training
APR30-Asked teacher manual
FEB27-Books are finalized
FEB25-SPEC. GVN.
FEB21- Books finalized Monday
FEB18-Books are seeing in process
FEB10-SPEC. GVN.
JAN11-SPEC. GVN.
DEC27-SAMPLING IN JAN END.
DEC26-Samples wanted after Pongal 
NOV29-Books want on January
NOV19-Books want on February 
NOV12-January end
OCT29-VST &amp; MEET PRINCIPAL.
OCT23-VST IN JAN.
SEP25-SAMPLING IN FEB.</t>
  </si>
  <si>
    <t>BIO</t>
  </si>
  <si>
    <t>AUG01-Q. BANK GVN.
JULY07-General visit   
JUN27-Q. BANK GVN
JUN19-DISCUSS ABUT REQ 
Q. BANK.
JUN16-Q. BANK GVN.</t>
  </si>
  <si>
    <t>AUG01- follow up
JULY30-General visit
JULY09-General visit
MAY20-General visit
DEC12-SPEC. GVN.
DEC07- Books are gothrough and verifying
NOV28-Grammar book follow up
NOV25-Books are seeing
NOV23-SPEC. GVN.
NOV13-SPEC. GVN.
OCT28-VST &amp; MEET PRINCIPAL. 
OCT24-VST IN NOV. 
OCT19-VST NOV 1ST WEEK.
OCT03-VST NOV END.
SEP30-SAMPLING IN JAN.
SEP25-SAMPLING IN JAN.</t>
  </si>
  <si>
    <t>AUG01-Visit school for follow up
JUN26-General visit
JUN10-General visit
DEC31-Books not finalized
DEC26-January month books finalizing
DEC19-SPEC. GVN.
DEC02-SPEC. GVN.</t>
  </si>
  <si>
    <t>AUG02-General visit
JULY19-General visit
JULY07-School visit for follow up
JUN14-General visit
JUN03-next year follow up
FEB19-Books are seeing under process
JAN21-School visit for order status
JAN20-SPEC. GVN.
JAN07-SPEC. GVN.
DEC03-Samples wanted on January</t>
  </si>
  <si>
    <t>AUG02-follow up
JULY07-General visit
JUN03-General visit
MAY15-General visit 
MAR27-known about order status
MAR18-Order is under process
FEB25-Order is under process
FEB18-Order is on under process 
FEB07-SPEC. GVN.
JAN29-SPEC. GVN.
JAN13-SAMPLING AFTER PONGAL.
NOV28- January month
NOV08-January end 
OCT28-DISCUSS ABUT BOOKS. 
OCT18-JUST VST.
OCT10-DISCUSS ABUT BOOKS. SEP19-SAMPLING IN MARCH.</t>
  </si>
  <si>
    <t xml:space="preserve">AUG02-General visit
JULY29-General visit
MAY16-SPEC. GVN.
APR30-Order finished
MAR18-SPEC. GVN.
FEB13-Samples asked February month end
FEB01-Samples asked February end
JAN27-SAMPLING FEB 2ND WEEK. </t>
  </si>
  <si>
    <t xml:space="preserve">AUG04-General visit
JULY07-General visit
MAR26-known about order status
MAR18-Order not finalized
FEB19-Books are seeing in process
FEB10-SPEC. GVN.
JAN13- Samples asked after Pongal
NOV13-Ask books on January end
SEP19-SAMPLING IN APRIL. </t>
  </si>
  <si>
    <t>AUG04-General visit
JULY19-General visit
JUN23-General visit
MAY24-follow up
DEC26-Follow up for order
DEC19-SPEC. GVN.
DEC07-SPEC. GVN.
NOV19-Books wanted on February
NOV7-SAMPLING IN DEC.
OCT22-SAMPLING IN DEC.
SEP20-SAMPLING IN FEB.</t>
  </si>
  <si>
    <t>AUG04-General visit
JULY26-General visit
MAY16-SPEC GVN.
APR15-Order finished
APR10-Order finished
APR08-Order not finalized
MAR12-SPEC. GVN.
MAR04-SPE.C GVN.
NOV18-February end
OCT28-SCHOOL VST.
OCT17-SCHOOL VST.
OCT15-F.UP VST.</t>
  </si>
  <si>
    <t>AUG05-General visit
JULY04-General visit
FEB05-SPEC. GVN.
JAN21-WANT SPEC. 
DEC28-SAMPLING AFTER PONGAL.
NOV29-Books seeing on January
ember month
NOV09-SAMPLING Dec
SEP23-SAMPLING IN MARCH.</t>
  </si>
  <si>
    <t>AUG06-General visit
JULY16-General visit
JUN30-Visit school for follow up
APR21-SPEC. GVN.
APR15-Order is finalized
APR02- Order is finalized
MAR29-Order is under process
MAR11-Order not finalized
FEB28-SPE.C GVN.
FEB20-SPEC. GVN.
FEB07-SAMPLING February end
JAN23-February 2nd week
JAN10-Samples asked February
DEC05-Books want on February</t>
  </si>
  <si>
    <t>AUG06-General visit
AUG04-General visit
JULY09-next year follow up
JULY05-General visit
APR28-Order finished
APR21-Visit school and get order status
APR07-Order is under process
APR17-Order is under process
APR02-Order is under process going
MAR18-Teacher are seeing books
MAR11-SPEC. GVN.
FEB28-Books are seeing next week
FEB10-Books asked February end
FEB06-SAMPLING FEB END.
JAN31-Samples asked February end
JAN17-Samples wanted January end
OCT10-F.UP VST.
SEP27-SAMPLING IN MARCH.</t>
  </si>
  <si>
    <t>AUG06-General visit 
MAY23-follow up
APR10-Order finished
APR01-SPEC. GVN.
MAR28-SPEC. GVN
MAR18-SPEC. GVN.
MAR11-SPEC. GVN
MAR03-SPE.C GVN.
JAN16-Order not finalized
DEC24-SAMPLING IN FEB.,
DEC15-Samples wanted February</t>
  </si>
  <si>
    <t>AUG06-General visit
JULY29-General visit
JULY23-General visit
JUN12-General visit
APR29-Order finalized
APR16-SPEC. GVN.
APR01-April end only decided
MAR22-SPEC. GVN.
MAR03-SPE.C GVN.
FEB01-Samples asked February end
JAN17-SAMPLING FEB 1ST WEEK. OCT25-SCHOOL VST TO COELLCT.
OCT17-VST AFTER PONGAL.
OCT10-VST FOR RETN COLELCT.
SEP30-SAMPLING IN MARCH.
SEP21-SAMPLING IN MARCH.</t>
  </si>
  <si>
    <t xml:space="preserve">AUG07-School visit 
JULY23- General visit
JULY16-Visit school for follow up
JUN20-General visit
JUN11-General visit
MAY22-Follow up
MAY13-next year follow up
MAY09-general visit
FEB07-ORDER F.UP VST.
JAN22-SPEC. GVN.
JAN04-After Pongal books are seeing
DEC24-Samples asked January
DEC16-SAMPLING IN JAN.
DEC13-SAMPLING IN JAN.
DEC02-Books wanted on January
SEP30-SAMPLING IN JAN.
SEP21-SAMPLING IN JAN. </t>
  </si>
  <si>
    <t>AUG07-General visit
JULY17-General visit
JUN12-General visit
MAY09-Order finished
APR22-DISCUSS ORDER.
APR05-SPEC. GVN.
MAR19-SPEC. GVN
FEB27-SEOPC GVN.
FEB06-SPEC. GVN.
JAN31-SPEC. GVN.
DEC13-Samples asked December end
NOV30-LST FINAL IN JAN.
NOV27-December 2nd week
NOV25-SAMPLING DEC 2ND WEEK.
NOV19-December end
NOV18-November end books wanted
NOV16-SAMPLING IN December
NOV12-SAMPLING IN December
NOV07-SAMPLING November end
OCT29-DETAIL COLELCT.
OCT03-DISCUSS ABUT ORDER.,</t>
  </si>
  <si>
    <t>AUG07-General visit
JULY08-General visit
JULY12-General visit
JULY04-General visit
JUN13-General visit
MAY10-General visit
APR02-Order is finished
MAR27-Order finalized
MAR08-Order is finalized
FEB05-Books not seeing for annual day function 
JAN21-SPEC. GVN.
DEC28-SAMPLING IN JAN.
NOV29-Books wanted on December month
NOV09-Book seen on November end</t>
  </si>
  <si>
    <r>
      <t>AUG07-General visit
JULY31-General visit
JULY08-General visit
JUN20-General visit
JUN03-teacher copy GVN.
JUN02-order next year</t>
    </r>
    <r>
      <rPr>
        <b/>
        <sz val="12"/>
        <color indexed="8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  <scheme val="minor"/>
      </rPr>
      <t xml:space="preserve">MAY30-follow up
MAY28-T. COPY GVN.
MAY23-follow up
MAY17-WANT T. MNAUL. 
MAY13-Asked for any training program
MAY06-DISCUSS T. TRAING . 
APR28- given maths teacher manual
APR16-Asked teacher copy
JAN31-Order realised
JAN30-Order finalized
JAN20-SPEC. GVN.
JAN11-SPEC. GVN.
JNA04-WANT SPEC 
DEC31-SAMPLING AFTER PONGAL.
DEC16-WANT SPEC. 
DEC15-SAMPLING JAN 1ST WEEK.
NOV27-December month wanted books
NOV18-SAMPLING Ask December
NOV13-Give on December
NOV07-SAMPLING December 1st week
OCT29-SCHOOL VST.
OCT22-VST NOV END.
OCT15-F.UP VST.
OCT01-SAMPLING NOV END.
SEP30-SAMPLING IN JAN.
SEP20-SAMPLING IN DEC. </t>
    </r>
  </si>
  <si>
    <t>AUG08-General visit
JULY24-taking return books
JULY02-payment and follow up
MAY28-payment visit
MAY12-Order finalized
MAY05-SPEC. GVN.
APR25-WANT COMPUTER BOOKS. MAR07-Order finished
MAR06-SPEC. GVN.
FEB24-SPEC. GVNB.
FEB14-SPEC. GVN.
DEC17-Books wanted January end
NOV04-SAMPLING FEB MNTH.
OCT19-VST IN FEB.</t>
  </si>
  <si>
    <t>AUG08-General visit
JUN06-General visit
APR09-Order finalized
FEB24-Not finalized
FEB14-SPEC. GVN.
JAN28- Lead school confirmed.
DEC23-VST AFTER PONGAL.</t>
  </si>
  <si>
    <t xml:space="preserve">AUG08-General visit
JUN18-General visit
MAY28-Order finished
MAY05-Order finished
APR07-Order not finalized
MAR17-School visit for order status
MAR12-SPEC. GVN.
MAR03-SPEC. GVN.
NOV04-DISCUSS WITH BOOK INCHARGE. </t>
  </si>
  <si>
    <t>AUG08-General visit
JULY10-General visit
JUN18-follow up
MAY28-follow up
MAY12-Payment visit
MAY05-Order finalized
APR25-NO CHANGE.
APR09-SPEC. GVN.
MAR17-Order finished
MAR06-Order finished
FEB24- order follow up
FEB14-SPEC. GVN.
JAN28-SPEC. GVN.
JAN02-Visit for order status
DEC23-Visit for order status
DEC17-Visit about details of selection
DEC11-SPEC. GVN.
NOV-20 WANT SAMPLING IN DEC 2ND WEEK
NOV04-SAMPLING DEC 2ND WEEK. 
OCT16-ORDER DISCUSSION.
OCT07-F.UP VST.
SEP26-SAMPLING IN JAN.</t>
  </si>
  <si>
    <t xml:space="preserve">AUG08-General visit
JULY24-Visit school for follow up
JULY10-School visit for follow up
JULY02-Visit school for follow up
JUN06-General visit
MAY28-General visit
MAR17-SPEC. GVN.
JAN02-Books not finalized
DEC23-Books are not finalized
DEC17-Visit about selection satus
DEC11-SPEC. GVN.
NOV-20 WANT SPECIMEN IN DEC END 
NOV04-SAMPLING DEC MNTH. OCT16-VST NOV END.
OCT07-SAMPLING IN NOV. </t>
  </si>
  <si>
    <t>AUG09-General visit
JULY29-General visit
JULY09-next year follow up
JUN28-enquiry for selection of books
MAY02-Our books not selected
APR29-Order is not finalized
APR16-Not finalized
APR08-Order not finalized
APR04-Order is finalized
MAR28-asked about order status
MAR12-SPEC. GVN</t>
  </si>
  <si>
    <t>AUG</t>
  </si>
  <si>
    <t>I.P. 
SCHOOL</t>
  </si>
  <si>
    <t xml:space="preserve">                                Total :--</t>
  </si>
  <si>
    <t>Total :--</t>
  </si>
  <si>
    <t>MR. SHANMUGA SUNDARAM  (I.P. REPORT SUMMARY) 2024-25</t>
  </si>
  <si>
    <t xml:space="preserve">TIRUCHIRAPPALLI /
 TRICHY </t>
  </si>
  <si>
    <r>
      <t xml:space="preserve">THUNJAVUR , KUMBAKONAM  </t>
    </r>
    <r>
      <rPr>
        <b/>
        <sz val="16"/>
        <color rgb="FFFF0000"/>
        <rFont val="Calibri"/>
        <family val="2"/>
        <scheme val="minor"/>
      </rPr>
      <t>NEW</t>
    </r>
  </si>
  <si>
    <r>
      <t xml:space="preserve">KARAIKAL  </t>
    </r>
    <r>
      <rPr>
        <b/>
        <sz val="16"/>
        <color rgb="FFFF0000"/>
        <rFont val="Calibri"/>
        <family val="2"/>
        <scheme val="minor"/>
      </rPr>
      <t>NEW</t>
    </r>
  </si>
  <si>
    <t xml:space="preserve">SUPPLY BY BOOK SELLER IN  12 SCHOOL'S </t>
  </si>
  <si>
    <t>ALMAA NURSERY  (TRICHY BOOK HOUSE)</t>
  </si>
  <si>
    <t>CHELLA NURSERY (TRICHY BOOK HOUSE)</t>
  </si>
  <si>
    <t>GANATHIN VASAL SCHOOL (TRICHY BOOK HOUSE)</t>
  </si>
  <si>
    <t>IDEAL (TRICHY BOOK HOUSE)</t>
  </si>
  <si>
    <t>KRISHNA SCHOOL (TRICHY BOOK HOUSE)</t>
  </si>
  <si>
    <t>ORACALE (TRICHY BOOK HOUSE)</t>
  </si>
  <si>
    <t>SOUTH SPRING (TRICHY BOOK HOUSE)</t>
  </si>
  <si>
    <t>TRICHY PUB. SCHOOL (TRICHY BOOK HOUSE)</t>
  </si>
  <si>
    <t>TRINITY ACADEMY (TRICHY BOOK HOUSE)</t>
  </si>
  <si>
    <t>TRIPLE I KIDS (TRICHY BOOK HOUSE)</t>
  </si>
  <si>
    <t>UNIVERSAL PUBLIC CHERAN (TRICHY BOOK HOUSE)</t>
  </si>
  <si>
    <t>SANDIPANI VIDYASHRAM (TRICHY BOOK HOUSE)</t>
  </si>
  <si>
    <t>SRNO.</t>
  </si>
  <si>
    <t>STATIONS
 COVERED</t>
  </si>
  <si>
    <t>TOTAL NO. 
OF SCHOOLS</t>
  </si>
  <si>
    <t>BOOKS 
PRESCRIBED NO. OF SCHOOL'S</t>
  </si>
  <si>
    <t xml:space="preserve">        TOTAL :- </t>
  </si>
  <si>
    <t>MR. SHANMUGA SUNDARAM   (SHORT I.P. REPORT SUMMARY) 2024-25</t>
  </si>
  <si>
    <t xml:space="preserve">THUNJAVUR , KUMBAKONAM  </t>
  </si>
  <si>
    <t xml:space="preserve">KARAIKAL </t>
  </si>
  <si>
    <t xml:space="preserve">SRNO </t>
  </si>
  <si>
    <t xml:space="preserve">BOARD </t>
  </si>
  <si>
    <t>LIST</t>
  </si>
  <si>
    <t>SCHOOL'S COVERD</t>
  </si>
  <si>
    <t xml:space="preserve">NO OF SCHOOL'S VISITED
</t>
  </si>
  <si>
    <t>SINGLE VIST</t>
  </si>
  <si>
    <t>DOUBLE VST</t>
  </si>
  <si>
    <t>TRIPLE VST</t>
  </si>
  <si>
    <t xml:space="preserve">3+ VST </t>
  </si>
  <si>
    <t>NON VSTED</t>
  </si>
  <si>
    <t>MAR</t>
  </si>
  <si>
    <t>APR</t>
  </si>
  <si>
    <t>MAY</t>
  </si>
  <si>
    <t>TOTAL</t>
  </si>
  <si>
    <r>
      <t xml:space="preserve">
MAY29-</t>
    </r>
    <r>
      <rPr>
        <b/>
        <sz val="12"/>
        <color indexed="8"/>
        <rFont val="Calibri"/>
        <family val="2"/>
        <scheme val="minor"/>
      </rPr>
      <t>Work Shop DONE WITH MRS. SARITA</t>
    </r>
    <r>
      <rPr>
        <sz val="12"/>
        <color indexed="8"/>
        <rFont val="Calibri"/>
        <family val="2"/>
        <scheme val="minor"/>
      </rPr>
      <t xml:space="preserve">
</t>
    </r>
  </si>
  <si>
    <r>
      <t xml:space="preserve">TIRUCHIRAPPALLI , </t>
    </r>
    <r>
      <rPr>
        <b/>
        <sz val="22"/>
        <color rgb="FFFF0000"/>
        <rFont val="Calibri"/>
        <family val="2"/>
        <scheme val="minor"/>
      </rPr>
      <t>TRICHY</t>
    </r>
  </si>
  <si>
    <t xml:space="preserve">                             WORKSHOP VST WITH MRS. SARITA 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</si>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</sst>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8" x14ac:knownFonts="1">
    <font>
      <sz val="11"/>
      <color theme="1"/>
      <name val="Calibri"/>
      <family val="2"/>
      <scheme val="minor"/>
    </font>
    <font>
      <b/>
      <sz val="14"/>
      <name val="Wingdings 2"/>
      <family val="1"/>
      <charset val="2"/>
    </font>
    <font>
      <sz val="11"/>
      <color indexed="8"/>
      <name val="Bookman Old Style"/>
      <family val="1"/>
    </font>
    <font>
      <sz val="11"/>
      <color indexed="8"/>
      <name val="Bookman Old Style"/>
      <family val="1"/>
    </font>
    <font>
      <sz val="11"/>
      <color indexed="8"/>
      <name val="Wingdings 2"/>
      <family val="1"/>
      <charset val="2"/>
    </font>
    <font>
      <b/>
      <sz val="12"/>
      <name val="Wingdings 2"/>
      <family val="1"/>
      <charset val="2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indexed="8"/>
      <name val="Calibri"/>
      <family val="2"/>
      <scheme val="minor"/>
    </font>
    <font>
      <sz val="10"/>
      <name val="Arial"/>
      <family val="2"/>
    </font>
    <font>
      <b/>
      <sz val="11"/>
      <color indexed="8"/>
      <name val="Wingdings 2"/>
      <family val="1"/>
      <charset val="2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u val="double"/>
      <sz val="24"/>
      <color rgb="FF7030A0"/>
      <name val="Calibri"/>
      <family val="2"/>
      <scheme val="minor"/>
    </font>
    <font>
      <b/>
      <sz val="14"/>
      <color indexed="8"/>
      <name val="Wingdings 2"/>
      <family val="1"/>
      <charset val="2"/>
    </font>
    <font>
      <sz val="11"/>
      <name val="Calibri"/>
      <family val="2"/>
    </font>
    <font>
      <b/>
      <sz val="2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indexed="8"/>
      <name val="Bookman Old Style"/>
      <family val="1"/>
    </font>
    <font>
      <b/>
      <sz val="14"/>
      <color indexed="8"/>
      <name val="Bookman Old Style"/>
      <family val="1"/>
    </font>
    <font>
      <b/>
      <sz val="12"/>
      <color indexed="8"/>
      <name val="Wingdings 2"/>
      <family val="1"/>
      <charset val="2"/>
    </font>
    <font>
      <sz val="11"/>
      <name val="Bookman Old Style"/>
      <family val="1"/>
    </font>
    <font>
      <sz val="10"/>
      <color indexed="8"/>
      <name val="Arial"/>
      <family val="2"/>
    </font>
    <font>
      <b/>
      <sz val="11"/>
      <name val="Wingdings 2"/>
      <family val="1"/>
      <charset val="2"/>
    </font>
    <font>
      <b/>
      <sz val="12"/>
      <name val="Calibri"/>
      <family val="2"/>
      <scheme val="minor"/>
    </font>
    <font>
      <sz val="14"/>
      <name val="Calibri"/>
      <family val="2"/>
    </font>
    <font>
      <b/>
      <sz val="18"/>
      <name val="Calibri"/>
      <family val="2"/>
      <scheme val="minor"/>
    </font>
    <font>
      <b/>
      <sz val="10"/>
      <color indexed="8"/>
      <name val="Wingdings 2"/>
      <family val="1"/>
      <charset val="2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indexed="8"/>
      <name val="Calibri"/>
      <family val="2"/>
      <scheme val="minor"/>
    </font>
    <font>
      <b/>
      <sz val="11"/>
      <color indexed="8"/>
      <name val="Bookman Old Style"/>
      <family val="1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indexed="8"/>
      <name val="Wingdings 2"/>
      <family val="1"/>
      <charset val="2"/>
    </font>
    <font>
      <b/>
      <sz val="24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indexed="8"/>
      <name val="Wingdings 2"/>
      <family val="1"/>
      <charset val="2"/>
    </font>
    <font>
      <sz val="10"/>
      <name val="Wingdings 2"/>
      <family val="1"/>
      <charset val="2"/>
    </font>
    <font>
      <b/>
      <sz val="16"/>
      <color indexed="8"/>
      <name val="Wingdings 2"/>
      <family val="1"/>
      <charset val="2"/>
    </font>
    <font>
      <b/>
      <sz val="16"/>
      <name val="Wingdings 2"/>
      <family val="1"/>
      <charset val="2"/>
    </font>
    <font>
      <sz val="12"/>
      <name val="Calibri"/>
      <family val="2"/>
      <scheme val="minor"/>
    </font>
    <font>
      <sz val="7"/>
      <color rgb="FF212529"/>
      <name val="Arial"/>
      <family val="2"/>
    </font>
    <font>
      <b/>
      <sz val="18"/>
      <color rgb="FFFF0000"/>
      <name val="Calibri"/>
      <family val="2"/>
      <scheme val="minor"/>
    </font>
    <font>
      <b/>
      <sz val="18"/>
      <color rgb="FFFF0000"/>
      <name val="Calibri"/>
      <family val="2"/>
    </font>
    <font>
      <b/>
      <sz val="18"/>
      <color theme="1"/>
      <name val="Calibri"/>
      <family val="2"/>
    </font>
    <font>
      <b/>
      <sz val="18"/>
      <name val="Wingdings 2"/>
      <family val="1"/>
      <charset val="2"/>
    </font>
    <font>
      <sz val="18"/>
      <color indexed="8"/>
      <name val="Wingdings 2"/>
      <family val="1"/>
      <charset val="2"/>
    </font>
    <font>
      <sz val="18"/>
      <color indexed="8"/>
      <name val="Bookman Old Style"/>
      <family val="1"/>
    </font>
    <font>
      <b/>
      <sz val="18"/>
      <color indexed="8"/>
      <name val="Wingdings 2"/>
      <family val="1"/>
      <charset val="2"/>
    </font>
    <font>
      <b/>
      <sz val="16"/>
      <color indexed="8"/>
      <name val="Bookman Old Style"/>
      <family val="1"/>
    </font>
    <font>
      <sz val="12"/>
      <color indexed="8"/>
      <name val="Bookman Old Style"/>
      <family val="1"/>
    </font>
    <font>
      <b/>
      <sz val="26"/>
      <color rgb="FFFF0000"/>
      <name val="Calibri"/>
      <family val="2"/>
      <scheme val="minor"/>
    </font>
    <font>
      <b/>
      <sz val="28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rgb="FF7030A0"/>
      <name val="Cambria"/>
      <family val="1"/>
      <scheme val="major"/>
    </font>
    <font>
      <sz val="16"/>
      <color rgb="FF212529"/>
      <name val="Calibri"/>
      <family val="2"/>
      <scheme val="minor"/>
    </font>
    <font>
      <sz val="14"/>
      <color rgb="FF212529"/>
      <name val="Calibri"/>
      <family val="2"/>
      <scheme val="minor"/>
    </font>
    <font>
      <b/>
      <sz val="18"/>
      <color theme="1"/>
      <name val="Wingdings 2"/>
      <family val="1"/>
      <charset val="2"/>
    </font>
    <font>
      <sz val="10"/>
      <color theme="1"/>
      <name val="Calibri"/>
      <family val="2"/>
      <scheme val="minor"/>
    </font>
    <font>
      <b/>
      <sz val="16"/>
      <color theme="1"/>
      <name val="Wingdings 2"/>
      <family val="1"/>
      <charset val="2"/>
    </font>
    <font>
      <sz val="26"/>
      <color theme="1"/>
      <name val="Calibri"/>
      <family val="2"/>
      <scheme val="minor"/>
    </font>
    <font>
      <sz val="10"/>
      <color theme="1"/>
      <name val="Wingdings 2"/>
      <family val="1"/>
      <charset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4"/>
      <color indexed="8"/>
      <name val="Calibri"/>
      <family val="2"/>
    </font>
    <font>
      <b/>
      <sz val="2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9" fillId="0" borderId="48" applyNumberFormat="0" applyFill="0" applyAlignment="0" applyProtection="0"/>
    <xf numFmtId="9" fontId="79" fillId="0" borderId="0" applyFont="0" applyFill="0" applyBorder="0" applyAlignment="0" applyProtection="0"/>
  </cellStyleXfs>
  <cellXfs count="565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5" fillId="0" borderId="0" xfId="1"/>
    <xf numFmtId="0" fontId="15" fillId="0" borderId="0" xfId="1" applyAlignment="1">
      <alignment horizontal="left"/>
    </xf>
    <xf numFmtId="0" fontId="15" fillId="0" borderId="0" xfId="1" applyAlignment="1">
      <alignment horizontal="center" vertical="center" wrapText="1"/>
    </xf>
    <xf numFmtId="0" fontId="21" fillId="0" borderId="0" xfId="1" applyFont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/>
    </xf>
    <xf numFmtId="0" fontId="15" fillId="4" borderId="0" xfId="1" applyFill="1"/>
    <xf numFmtId="0" fontId="3" fillId="4" borderId="0" xfId="0" applyFont="1" applyFill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top" wrapText="1"/>
    </xf>
    <xf numFmtId="0" fontId="27" fillId="4" borderId="0" xfId="0" applyFont="1" applyFill="1" applyAlignment="1">
      <alignment vertical="center" wrapText="1"/>
    </xf>
    <xf numFmtId="0" fontId="27" fillId="4" borderId="3" xfId="0" applyFont="1" applyFill="1" applyBorder="1" applyAlignment="1">
      <alignment vertical="center" wrapText="1"/>
    </xf>
    <xf numFmtId="0" fontId="2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vertical="center" wrapText="1"/>
    </xf>
    <xf numFmtId="0" fontId="23" fillId="4" borderId="3" xfId="0" applyFont="1" applyFill="1" applyBorder="1" applyAlignment="1">
      <alignment vertical="center" wrapText="1"/>
    </xf>
    <xf numFmtId="0" fontId="34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right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16" fontId="35" fillId="0" borderId="0" xfId="1" applyNumberFormat="1" applyFont="1" applyAlignment="1">
      <alignment horizontal="center" vertical="center" wrapText="1"/>
    </xf>
    <xf numFmtId="0" fontId="36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23" fillId="4" borderId="0" xfId="0" applyFont="1" applyFill="1" applyAlignment="1">
      <alignment vertical="center" wrapText="1"/>
    </xf>
    <xf numFmtId="0" fontId="37" fillId="4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center" vertical="center" wrapText="1"/>
    </xf>
    <xf numFmtId="0" fontId="19" fillId="4" borderId="7" xfId="1" applyFont="1" applyFill="1" applyBorder="1" applyAlignment="1">
      <alignment horizontal="center" vertical="center"/>
    </xf>
    <xf numFmtId="0" fontId="35" fillId="4" borderId="28" xfId="1" applyFont="1" applyFill="1" applyBorder="1" applyAlignment="1">
      <alignment horizontal="center" vertical="center"/>
    </xf>
    <xf numFmtId="0" fontId="35" fillId="4" borderId="39" xfId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2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25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4" fillId="4" borderId="4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9" fillId="4" borderId="38" xfId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7" fillId="4" borderId="4" xfId="0" applyFont="1" applyFill="1" applyBorder="1" applyAlignment="1">
      <alignment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9" fillId="4" borderId="31" xfId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vertical="center" wrapText="1"/>
    </xf>
    <xf numFmtId="0" fontId="20" fillId="4" borderId="1" xfId="1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0" fontId="38" fillId="10" borderId="45" xfId="0" applyFont="1" applyFill="1" applyBorder="1" applyAlignment="1">
      <alignment horizontal="center" vertical="center" wrapText="1"/>
    </xf>
    <xf numFmtId="0" fontId="38" fillId="10" borderId="46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51" fillId="4" borderId="1" xfId="0" applyFont="1" applyFill="1" applyBorder="1" applyAlignment="1">
      <alignment vertical="center" wrapText="1"/>
    </xf>
    <xf numFmtId="0" fontId="52" fillId="4" borderId="1" xfId="0" applyFont="1" applyFill="1" applyBorder="1" applyAlignment="1">
      <alignment vertical="center" wrapText="1"/>
    </xf>
    <xf numFmtId="0" fontId="11" fillId="4" borderId="4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/>
    </xf>
    <xf numFmtId="0" fontId="35" fillId="4" borderId="25" xfId="1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right" vertical="center" wrapText="1"/>
    </xf>
    <xf numFmtId="0" fontId="3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16" fontId="12" fillId="4" borderId="1" xfId="0" applyNumberFormat="1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vertical="center" wrapText="1"/>
    </xf>
    <xf numFmtId="0" fontId="54" fillId="4" borderId="1" xfId="0" applyFont="1" applyFill="1" applyBorder="1" applyAlignment="1">
      <alignment vertical="center" wrapText="1"/>
    </xf>
    <xf numFmtId="0" fontId="5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7" fillId="7" borderId="0" xfId="0" applyFont="1" applyFill="1" applyAlignment="1">
      <alignment horizontal="left" vertical="center" wrapText="1"/>
    </xf>
    <xf numFmtId="0" fontId="11" fillId="4" borderId="5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5" fillId="4" borderId="1" xfId="1" applyFont="1" applyFill="1" applyBorder="1" applyAlignment="1">
      <alignment horizontal="center" vertical="center"/>
    </xf>
    <xf numFmtId="0" fontId="35" fillId="4" borderId="7" xfId="1" applyFont="1" applyFill="1" applyBorder="1" applyAlignment="1">
      <alignment horizontal="center" vertical="center"/>
    </xf>
    <xf numFmtId="0" fontId="35" fillId="4" borderId="31" xfId="1" applyFont="1" applyFill="1" applyBorder="1" applyAlignment="1">
      <alignment horizontal="center" vertical="center"/>
    </xf>
    <xf numFmtId="0" fontId="35" fillId="4" borderId="38" xfId="1" applyFont="1" applyFill="1" applyBorder="1" applyAlignment="1">
      <alignment horizontal="center" vertical="center"/>
    </xf>
    <xf numFmtId="0" fontId="35" fillId="4" borderId="11" xfId="1" applyFont="1" applyFill="1" applyBorder="1" applyAlignment="1">
      <alignment horizontal="center" vertical="center"/>
    </xf>
    <xf numFmtId="0" fontId="35" fillId="4" borderId="26" xfId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56" fillId="11" borderId="1" xfId="0" applyFont="1" applyFill="1" applyBorder="1" applyAlignment="1">
      <alignment horizontal="center" vertical="top" wrapText="1"/>
    </xf>
    <xf numFmtId="0" fontId="60" fillId="4" borderId="3" xfId="0" applyFont="1" applyFill="1" applyBorder="1" applyAlignment="1">
      <alignment vertical="center" wrapText="1"/>
    </xf>
    <xf numFmtId="0" fontId="61" fillId="4" borderId="3" xfId="0" applyFont="1" applyFill="1" applyBorder="1" applyAlignment="1">
      <alignment horizontal="center" vertical="center" wrapText="1"/>
    </xf>
    <xf numFmtId="0" fontId="62" fillId="4" borderId="3" xfId="0" applyFont="1" applyFill="1" applyBorder="1" applyAlignment="1">
      <alignment vertical="center" wrapText="1"/>
    </xf>
    <xf numFmtId="0" fontId="61" fillId="4" borderId="1" xfId="0" applyFont="1" applyFill="1" applyBorder="1" applyAlignment="1">
      <alignment vertical="center" wrapText="1"/>
    </xf>
    <xf numFmtId="0" fontId="61" fillId="4" borderId="1" xfId="0" applyFont="1" applyFill="1" applyBorder="1" applyAlignment="1">
      <alignment horizontal="center" vertical="center" wrapText="1"/>
    </xf>
    <xf numFmtId="0" fontId="62" fillId="4" borderId="1" xfId="0" applyFont="1" applyFill="1" applyBorder="1" applyAlignment="1">
      <alignment vertical="center" wrapText="1"/>
    </xf>
    <xf numFmtId="0" fontId="63" fillId="4" borderId="1" xfId="0" applyFont="1" applyFill="1" applyBorder="1" applyAlignment="1">
      <alignment vertical="center" wrapText="1"/>
    </xf>
    <xf numFmtId="0" fontId="62" fillId="4" borderId="1" xfId="0" applyFont="1" applyFill="1" applyBorder="1" applyAlignment="1">
      <alignment horizontal="center" vertical="center" wrapText="1"/>
    </xf>
    <xf numFmtId="0" fontId="62" fillId="7" borderId="0" xfId="0" applyFont="1" applyFill="1" applyAlignment="1">
      <alignment vertical="center" wrapText="1"/>
    </xf>
    <xf numFmtId="0" fontId="62" fillId="7" borderId="0" xfId="0" applyFont="1" applyFill="1" applyAlignment="1">
      <alignment horizontal="center" vertical="center" wrapText="1"/>
    </xf>
    <xf numFmtId="0" fontId="60" fillId="4" borderId="1" xfId="0" applyFont="1" applyFill="1" applyBorder="1" applyAlignment="1">
      <alignment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vertical="center" wrapText="1"/>
    </xf>
    <xf numFmtId="0" fontId="64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vertical="center" wrapText="1"/>
    </xf>
    <xf numFmtId="0" fontId="65" fillId="4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 wrapText="1"/>
    </xf>
    <xf numFmtId="0" fontId="45" fillId="2" borderId="27" xfId="1" applyFont="1" applyFill="1" applyBorder="1" applyAlignment="1">
      <alignment horizontal="center" vertical="center" wrapText="1"/>
    </xf>
    <xf numFmtId="16" fontId="45" fillId="2" borderId="27" xfId="1" applyNumberFormat="1" applyFont="1" applyFill="1" applyBorder="1" applyAlignment="1">
      <alignment horizontal="center" vertical="center" wrapText="1"/>
    </xf>
    <xf numFmtId="0" fontId="19" fillId="4" borderId="2" xfId="1" applyFont="1" applyFill="1" applyBorder="1" applyAlignment="1">
      <alignment horizontal="center" vertical="center"/>
    </xf>
    <xf numFmtId="16" fontId="46" fillId="0" borderId="0" xfId="1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top" wrapText="1"/>
    </xf>
    <xf numFmtId="0" fontId="18" fillId="4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1" fillId="4" borderId="0" xfId="0" applyFont="1" applyFill="1" applyBorder="1" applyAlignment="1">
      <alignment vertical="center" wrapText="1"/>
    </xf>
    <xf numFmtId="0" fontId="41" fillId="4" borderId="0" xfId="0" applyFont="1" applyFill="1" applyAlignment="1">
      <alignment horizontal="center" vertical="center" wrapText="1"/>
    </xf>
    <xf numFmtId="0" fontId="19" fillId="4" borderId="40" xfId="1" applyFont="1" applyFill="1" applyBorder="1" applyAlignment="1">
      <alignment horizontal="center" vertical="center"/>
    </xf>
    <xf numFmtId="0" fontId="19" fillId="4" borderId="39" xfId="1" applyFont="1" applyFill="1" applyBorder="1" applyAlignment="1">
      <alignment horizontal="center" vertical="center"/>
    </xf>
    <xf numFmtId="0" fontId="68" fillId="9" borderId="53" xfId="0" applyFont="1" applyFill="1" applyBorder="1" applyAlignment="1">
      <alignment horizontal="left" vertical="top"/>
    </xf>
    <xf numFmtId="0" fontId="68" fillId="9" borderId="6" xfId="0" applyFont="1" applyFill="1" applyBorder="1" applyAlignment="1">
      <alignment horizontal="left" vertical="top"/>
    </xf>
    <xf numFmtId="0" fontId="71" fillId="14" borderId="8" xfId="0" applyFont="1" applyFill="1" applyBorder="1" applyAlignment="1">
      <alignment horizontal="center" vertical="center" wrapText="1"/>
    </xf>
    <xf numFmtId="0" fontId="71" fillId="14" borderId="7" xfId="0" applyFont="1" applyFill="1" applyBorder="1" applyAlignment="1">
      <alignment horizontal="center" vertical="center" wrapText="1"/>
    </xf>
    <xf numFmtId="0" fontId="69" fillId="0" borderId="55" xfId="0" applyFont="1" applyFill="1" applyBorder="1" applyAlignment="1">
      <alignment horizontal="center" vertical="center"/>
    </xf>
    <xf numFmtId="0" fontId="69" fillId="0" borderId="3" xfId="0" applyFont="1" applyFill="1" applyBorder="1" applyAlignment="1">
      <alignment horizontal="center" vertical="center"/>
    </xf>
    <xf numFmtId="0" fontId="70" fillId="13" borderId="16" xfId="0" applyFont="1" applyFill="1" applyBorder="1" applyAlignment="1">
      <alignment horizontal="center" vertical="center" wrapText="1"/>
    </xf>
    <xf numFmtId="0" fontId="70" fillId="13" borderId="17" xfId="0" applyFont="1" applyFill="1" applyBorder="1" applyAlignment="1">
      <alignment horizontal="center" vertical="center" wrapText="1"/>
    </xf>
    <xf numFmtId="0" fontId="69" fillId="15" borderId="43" xfId="0" applyFont="1" applyFill="1" applyBorder="1" applyAlignment="1">
      <alignment horizontal="center" vertical="center" wrapText="1"/>
    </xf>
    <xf numFmtId="0" fontId="69" fillId="15" borderId="11" xfId="0" applyFont="1" applyFill="1" applyBorder="1" applyAlignment="1">
      <alignment horizontal="center" vertical="center" wrapText="1"/>
    </xf>
    <xf numFmtId="0" fontId="69" fillId="0" borderId="0" xfId="0" applyFont="1" applyFill="1" applyBorder="1" applyAlignment="1">
      <alignment horizontal="center" vertical="center"/>
    </xf>
    <xf numFmtId="0" fontId="69" fillId="0" borderId="57" xfId="0" applyFont="1" applyFill="1" applyBorder="1" applyAlignment="1">
      <alignment horizontal="center" vertical="center"/>
    </xf>
    <xf numFmtId="0" fontId="69" fillId="12" borderId="17" xfId="0" applyFont="1" applyFill="1" applyBorder="1" applyAlignment="1">
      <alignment horizontal="center" vertical="center"/>
    </xf>
    <xf numFmtId="0" fontId="70" fillId="13" borderId="20" xfId="0" applyFont="1" applyFill="1" applyBorder="1" applyAlignment="1">
      <alignment horizontal="center" vertical="center" wrapText="1"/>
    </xf>
    <xf numFmtId="0" fontId="69" fillId="15" borderId="20" xfId="0" applyFont="1" applyFill="1" applyBorder="1" applyAlignment="1">
      <alignment horizontal="center" vertical="center" wrapText="1"/>
    </xf>
    <xf numFmtId="0" fontId="69" fillId="15" borderId="17" xfId="0" applyFont="1" applyFill="1" applyBorder="1" applyAlignment="1">
      <alignment horizontal="center" vertical="center" wrapText="1"/>
    </xf>
    <xf numFmtId="0" fontId="69" fillId="12" borderId="18" xfId="0" applyFont="1" applyFill="1" applyBorder="1" applyAlignment="1">
      <alignment horizontal="center" vertical="center" wrapText="1"/>
    </xf>
    <xf numFmtId="0" fontId="69" fillId="12" borderId="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72" fillId="11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0" fontId="73" fillId="11" borderId="3" xfId="0" applyFont="1" applyFill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/>
    </xf>
    <xf numFmtId="0" fontId="75" fillId="0" borderId="3" xfId="0" applyFont="1" applyBorder="1"/>
    <xf numFmtId="0" fontId="76" fillId="0" borderId="3" xfId="0" applyFont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75" fillId="0" borderId="3" xfId="0" applyFont="1" applyBorder="1" applyAlignment="1">
      <alignment horizontal="center"/>
    </xf>
    <xf numFmtId="0" fontId="75" fillId="0" borderId="1" xfId="0" applyFont="1" applyBorder="1"/>
    <xf numFmtId="0" fontId="74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0" fontId="37" fillId="0" borderId="1" xfId="0" applyFont="1" applyBorder="1" applyAlignment="1">
      <alignment vertical="center" wrapText="1"/>
    </xf>
    <xf numFmtId="0" fontId="47" fillId="0" borderId="1" xfId="0" applyFont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 wrapText="1"/>
    </xf>
    <xf numFmtId="0" fontId="75" fillId="0" borderId="1" xfId="0" applyFont="1" applyBorder="1" applyAlignment="1"/>
    <xf numFmtId="0" fontId="19" fillId="2" borderId="16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75" fillId="0" borderId="0" xfId="0" applyFont="1"/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left"/>
    </xf>
    <xf numFmtId="0" fontId="75" fillId="0" borderId="1" xfId="0" applyFont="1" applyBorder="1" applyAlignment="1">
      <alignment wrapText="1"/>
    </xf>
    <xf numFmtId="0" fontId="75" fillId="0" borderId="1" xfId="0" applyFont="1" applyBorder="1" applyAlignment="1">
      <alignment horizontal="center" wrapText="1"/>
    </xf>
    <xf numFmtId="0" fontId="78" fillId="0" borderId="1" xfId="0" applyFont="1" applyBorder="1"/>
    <xf numFmtId="0" fontId="75" fillId="0" borderId="1" xfId="0" applyFont="1" applyBorder="1" applyAlignment="1">
      <alignment horizontal="left" wrapText="1"/>
    </xf>
    <xf numFmtId="0" fontId="75" fillId="0" borderId="0" xfId="0" applyFont="1" applyAlignment="1">
      <alignment horizontal="center" vertical="center"/>
    </xf>
    <xf numFmtId="0" fontId="75" fillId="0" borderId="0" xfId="0" applyFont="1" applyAlignment="1">
      <alignment wrapText="1"/>
    </xf>
    <xf numFmtId="0" fontId="75" fillId="0" borderId="0" xfId="0" applyFont="1" applyAlignment="1">
      <alignment horizontal="center" wrapText="1"/>
    </xf>
    <xf numFmtId="0" fontId="75" fillId="0" borderId="0" xfId="0" applyFont="1" applyAlignment="1">
      <alignment horizontal="center"/>
    </xf>
    <xf numFmtId="0" fontId="78" fillId="0" borderId="0" xfId="0" applyFont="1"/>
    <xf numFmtId="0" fontId="75" fillId="0" borderId="0" xfId="0" applyFont="1" applyAlignment="1">
      <alignment horizontal="left" wrapText="1"/>
    </xf>
    <xf numFmtId="0" fontId="0" fillId="12" borderId="13" xfId="0" applyFill="1" applyBorder="1"/>
    <xf numFmtId="0" fontId="47" fillId="0" borderId="5" xfId="0" applyFont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5" fillId="0" borderId="0" xfId="0" applyFont="1" applyBorder="1"/>
    <xf numFmtId="0" fontId="75" fillId="0" borderId="52" xfId="0" applyFont="1" applyBorder="1"/>
    <xf numFmtId="0" fontId="75" fillId="0" borderId="5" xfId="0" applyFont="1" applyBorder="1"/>
    <xf numFmtId="0" fontId="19" fillId="2" borderId="9" xfId="0" applyFont="1" applyFill="1" applyBorder="1" applyAlignment="1">
      <alignment horizontal="center" vertical="center"/>
    </xf>
    <xf numFmtId="0" fontId="75" fillId="0" borderId="55" xfId="0" applyFont="1" applyBorder="1"/>
    <xf numFmtId="0" fontId="75" fillId="0" borderId="3" xfId="0" applyFont="1" applyBorder="1" applyAlignment="1"/>
    <xf numFmtId="0" fontId="37" fillId="4" borderId="1" xfId="0" applyFont="1" applyFill="1" applyBorder="1" applyAlignment="1">
      <alignment horizontal="center" vertical="center" wrapText="1"/>
    </xf>
    <xf numFmtId="0" fontId="73" fillId="11" borderId="3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69" fillId="12" borderId="16" xfId="0" applyFont="1" applyFill="1" applyBorder="1" applyAlignment="1">
      <alignment horizontal="center" vertical="center" wrapText="1"/>
    </xf>
    <xf numFmtId="0" fontId="69" fillId="12" borderId="17" xfId="0" applyFont="1" applyFill="1" applyBorder="1" applyAlignment="1">
      <alignment horizontal="center" vertical="center" wrapText="1"/>
    </xf>
    <xf numFmtId="0" fontId="69" fillId="12" borderId="21" xfId="0" applyFont="1" applyFill="1" applyBorder="1" applyAlignment="1">
      <alignment horizontal="center" vertical="center"/>
    </xf>
    <xf numFmtId="0" fontId="73" fillId="11" borderId="3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9" fillId="4" borderId="0" xfId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20" fillId="4" borderId="2" xfId="1" applyFont="1" applyFill="1" applyBorder="1" applyAlignment="1">
      <alignment horizontal="left" vertical="center" wrapText="1"/>
    </xf>
    <xf numFmtId="0" fontId="20" fillId="4" borderId="2" xfId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left" vertical="center"/>
    </xf>
    <xf numFmtId="0" fontId="18" fillId="4" borderId="39" xfId="1" applyFont="1" applyFill="1" applyBorder="1" applyAlignment="1">
      <alignment horizontal="center" vertical="center"/>
    </xf>
    <xf numFmtId="0" fontId="20" fillId="4" borderId="1" xfId="1" applyFont="1" applyFill="1" applyBorder="1" applyAlignment="1">
      <alignment horizontal="left" vertical="center" wrapText="1"/>
    </xf>
    <xf numFmtId="0" fontId="13" fillId="0" borderId="3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13" fillId="2" borderId="45" xfId="1" applyFont="1" applyFill="1" applyBorder="1" applyAlignment="1">
      <alignment horizontal="center" vertical="center"/>
    </xf>
    <xf numFmtId="0" fontId="13" fillId="2" borderId="46" xfId="1" applyFont="1" applyFill="1" applyBorder="1" applyAlignment="1">
      <alignment horizontal="center" vertical="center"/>
    </xf>
    <xf numFmtId="0" fontId="13" fillId="2" borderId="47" xfId="1" applyFont="1" applyFill="1" applyBorder="1" applyAlignment="1">
      <alignment horizontal="center" vertical="center"/>
    </xf>
    <xf numFmtId="0" fontId="20" fillId="4" borderId="7" xfId="1" applyFont="1" applyFill="1" applyBorder="1" applyAlignment="1">
      <alignment horizontal="center" vertical="center"/>
    </xf>
    <xf numFmtId="0" fontId="18" fillId="4" borderId="7" xfId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26" xfId="1" applyFont="1" applyFill="1" applyBorder="1" applyAlignment="1">
      <alignment horizontal="center" vertical="center"/>
    </xf>
    <xf numFmtId="0" fontId="46" fillId="2" borderId="9" xfId="1" applyFont="1" applyFill="1" applyBorder="1" applyAlignment="1">
      <alignment horizontal="center" vertical="center"/>
    </xf>
    <xf numFmtId="0" fontId="18" fillId="4" borderId="59" xfId="1" applyFont="1" applyFill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83" fillId="0" borderId="7" xfId="2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/>
    </xf>
    <xf numFmtId="0" fontId="83" fillId="10" borderId="21" xfId="0" applyFont="1" applyFill="1" applyBorder="1" applyAlignment="1">
      <alignment horizontal="center" vertical="center"/>
    </xf>
    <xf numFmtId="0" fontId="84" fillId="4" borderId="7" xfId="1" applyFont="1" applyFill="1" applyBorder="1" applyAlignment="1">
      <alignment horizontal="center" vertical="center"/>
    </xf>
    <xf numFmtId="0" fontId="84" fillId="4" borderId="1" xfId="1" applyFont="1" applyFill="1" applyBorder="1" applyAlignment="1">
      <alignment horizontal="center" vertical="center"/>
    </xf>
    <xf numFmtId="0" fontId="38" fillId="10" borderId="35" xfId="0" applyFont="1" applyFill="1" applyBorder="1" applyAlignment="1">
      <alignment horizontal="center" vertical="center" wrapText="1"/>
    </xf>
    <xf numFmtId="0" fontId="38" fillId="10" borderId="63" xfId="0" applyFont="1" applyFill="1" applyBorder="1" applyAlignment="1">
      <alignment horizontal="center" vertical="center" wrapText="1"/>
    </xf>
    <xf numFmtId="0" fontId="38" fillId="10" borderId="23" xfId="0" applyFont="1" applyFill="1" applyBorder="1" applyAlignment="1">
      <alignment horizontal="center" vertical="center" wrapText="1"/>
    </xf>
    <xf numFmtId="0" fontId="83" fillId="10" borderId="36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left" vertical="center" wrapText="1"/>
    </xf>
    <xf numFmtId="0" fontId="13" fillId="0" borderId="2" xfId="1" applyFont="1" applyFill="1" applyBorder="1" applyAlignment="1" applyProtection="1">
      <alignment horizontal="left" vertical="center" wrapText="1"/>
    </xf>
    <xf numFmtId="0" fontId="84" fillId="4" borderId="2" xfId="1" applyFont="1" applyFill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9" fontId="13" fillId="0" borderId="31" xfId="4" applyFont="1" applyBorder="1" applyAlignment="1">
      <alignment horizontal="center" vertical="center"/>
    </xf>
    <xf numFmtId="9" fontId="13" fillId="0" borderId="38" xfId="4" applyFont="1" applyBorder="1" applyAlignment="1">
      <alignment horizontal="center" vertical="center"/>
    </xf>
    <xf numFmtId="9" fontId="13" fillId="0" borderId="26" xfId="4" applyFont="1" applyBorder="1" applyAlignment="1">
      <alignment horizontal="center" vertical="center"/>
    </xf>
    <xf numFmtId="9" fontId="83" fillId="10" borderId="36" xfId="4" applyFont="1" applyFill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43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9" fontId="83" fillId="10" borderId="27" xfId="4" applyFont="1" applyFill="1" applyBorder="1" applyAlignment="1">
      <alignment horizontal="center" vertical="center"/>
    </xf>
    <xf numFmtId="0" fontId="80" fillId="10" borderId="35" xfId="0" applyFont="1" applyFill="1" applyBorder="1" applyAlignment="1">
      <alignment horizontal="center" vertical="center" wrapText="1"/>
    </xf>
    <xf numFmtId="0" fontId="84" fillId="0" borderId="7" xfId="1" applyFont="1" applyFill="1" applyBorder="1" applyAlignment="1">
      <alignment vertical="center" wrapText="1"/>
    </xf>
    <xf numFmtId="0" fontId="13" fillId="0" borderId="7" xfId="1" applyFont="1" applyBorder="1" applyAlignment="1" applyProtection="1">
      <alignment horizontal="center" vertical="center"/>
    </xf>
    <xf numFmtId="0" fontId="13" fillId="4" borderId="1" xfId="1" applyFont="1" applyFill="1" applyBorder="1" applyAlignment="1">
      <alignment vertical="center" wrapText="1"/>
    </xf>
    <xf numFmtId="0" fontId="13" fillId="0" borderId="1" xfId="1" applyFont="1" applyBorder="1" applyAlignment="1" applyProtection="1">
      <alignment horizontal="center" vertical="center"/>
    </xf>
    <xf numFmtId="0" fontId="13" fillId="4" borderId="2" xfId="1" applyFont="1" applyFill="1" applyBorder="1" applyAlignment="1">
      <alignment vertical="center" wrapText="1"/>
    </xf>
    <xf numFmtId="0" fontId="13" fillId="0" borderId="2" xfId="1" applyFont="1" applyBorder="1" applyAlignment="1" applyProtection="1">
      <alignment horizontal="center" vertical="center"/>
    </xf>
    <xf numFmtId="0" fontId="13" fillId="10" borderId="10" xfId="3" applyFont="1" applyFill="1" applyBorder="1" applyAlignment="1">
      <alignment horizontal="center" vertical="center"/>
    </xf>
    <xf numFmtId="9" fontId="13" fillId="10" borderId="56" xfId="4" applyFont="1" applyFill="1" applyBorder="1" applyAlignment="1">
      <alignment horizontal="center" vertical="center"/>
    </xf>
    <xf numFmtId="0" fontId="13" fillId="0" borderId="43" xfId="1" applyFont="1" applyBorder="1" applyAlignment="1" applyProtection="1">
      <alignment horizontal="center" vertical="center"/>
    </xf>
    <xf numFmtId="0" fontId="83" fillId="2" borderId="35" xfId="1" applyFont="1" applyFill="1" applyBorder="1" applyAlignment="1">
      <alignment horizontal="center" vertical="center"/>
    </xf>
    <xf numFmtId="0" fontId="83" fillId="0" borderId="16" xfId="1" applyFont="1" applyBorder="1" applyAlignment="1">
      <alignment horizontal="center" vertical="center"/>
    </xf>
    <xf numFmtId="0" fontId="48" fillId="0" borderId="17" xfId="1" applyFont="1" applyFill="1" applyBorder="1" applyAlignment="1">
      <alignment horizontal="left" vertical="center" wrapText="1"/>
    </xf>
    <xf numFmtId="0" fontId="18" fillId="0" borderId="17" xfId="1" applyFont="1" applyFill="1" applyBorder="1" applyAlignment="1">
      <alignment horizontal="center" vertical="center"/>
    </xf>
    <xf numFmtId="0" fontId="83" fillId="0" borderId="17" xfId="1" applyFont="1" applyFill="1" applyBorder="1" applyAlignment="1">
      <alignment horizontal="center" vertical="center"/>
    </xf>
    <xf numFmtId="0" fontId="83" fillId="0" borderId="17" xfId="1" applyFont="1" applyBorder="1" applyAlignment="1">
      <alignment horizontal="center" vertical="center"/>
    </xf>
    <xf numFmtId="0" fontId="17" fillId="0" borderId="16" xfId="1" applyFont="1" applyFill="1" applyBorder="1" applyAlignment="1">
      <alignment horizontal="center" vertical="center"/>
    </xf>
    <xf numFmtId="0" fontId="17" fillId="0" borderId="27" xfId="1" applyFont="1" applyFill="1" applyBorder="1" applyAlignment="1">
      <alignment horizontal="center" vertical="center"/>
    </xf>
    <xf numFmtId="0" fontId="48" fillId="17" borderId="36" xfId="1" applyFont="1" applyFill="1" applyBorder="1" applyAlignment="1">
      <alignment horizontal="center" vertical="center"/>
    </xf>
    <xf numFmtId="0" fontId="46" fillId="17" borderId="16" xfId="1" applyFont="1" applyFill="1" applyBorder="1" applyAlignment="1">
      <alignment horizontal="center" vertical="center"/>
    </xf>
    <xf numFmtId="0" fontId="46" fillId="17" borderId="27" xfId="1" applyFont="1" applyFill="1" applyBorder="1" applyAlignment="1">
      <alignment horizontal="center" vertical="center"/>
    </xf>
    <xf numFmtId="0" fontId="83" fillId="17" borderId="0" xfId="1" applyFont="1" applyFill="1" applyBorder="1" applyAlignment="1">
      <alignment horizontal="center" vertical="center"/>
    </xf>
    <xf numFmtId="0" fontId="83" fillId="17" borderId="62" xfId="1" applyFont="1" applyFill="1" applyBorder="1" applyAlignment="1">
      <alignment horizontal="center" vertical="center"/>
    </xf>
    <xf numFmtId="0" fontId="86" fillId="4" borderId="0" xfId="1" applyFont="1" applyFill="1" applyBorder="1" applyAlignment="1">
      <alignment horizontal="center" vertical="center"/>
    </xf>
    <xf numFmtId="0" fontId="19" fillId="4" borderId="29" xfId="1" applyFont="1" applyFill="1" applyBorder="1" applyAlignment="1">
      <alignment horizontal="center" vertical="center"/>
    </xf>
    <xf numFmtId="0" fontId="46" fillId="2" borderId="32" xfId="1" applyFont="1" applyFill="1" applyBorder="1" applyAlignment="1">
      <alignment horizontal="center" vertical="center"/>
    </xf>
    <xf numFmtId="0" fontId="46" fillId="2" borderId="12" xfId="1" applyFont="1" applyFill="1" applyBorder="1" applyAlignment="1">
      <alignment horizontal="center" vertical="center"/>
    </xf>
    <xf numFmtId="0" fontId="15" fillId="4" borderId="0" xfId="1" applyFill="1" applyBorder="1" applyAlignment="1">
      <alignment horizontal="center" vertical="center" wrapText="1"/>
    </xf>
    <xf numFmtId="0" fontId="15" fillId="4" borderId="0" xfId="1" applyFill="1" applyBorder="1"/>
    <xf numFmtId="0" fontId="45" fillId="4" borderId="0" xfId="1" applyFont="1" applyFill="1" applyBorder="1" applyAlignment="1">
      <alignment horizontal="center" vertical="center"/>
    </xf>
    <xf numFmtId="0" fontId="13" fillId="4" borderId="0" xfId="1" applyFont="1" applyFill="1" applyBorder="1" applyAlignment="1">
      <alignment horizontal="center" vertical="center"/>
    </xf>
    <xf numFmtId="0" fontId="46" fillId="4" borderId="0" xfId="1" applyFont="1" applyFill="1" applyBorder="1" applyAlignment="1">
      <alignment horizontal="center" vertical="center"/>
    </xf>
    <xf numFmtId="0" fontId="83" fillId="4" borderId="0" xfId="1" applyFont="1" applyFill="1" applyBorder="1" applyAlignment="1">
      <alignment horizontal="center" vertical="center"/>
    </xf>
    <xf numFmtId="0" fontId="48" fillId="4" borderId="0" xfId="1" applyFont="1" applyFill="1" applyBorder="1" applyAlignment="1">
      <alignment horizontal="center" vertical="center"/>
    </xf>
    <xf numFmtId="0" fontId="45" fillId="16" borderId="41" xfId="1" applyFont="1" applyFill="1" applyBorder="1" applyAlignment="1">
      <alignment horizontal="center" vertical="center"/>
    </xf>
    <xf numFmtId="0" fontId="19" fillId="4" borderId="28" xfId="1" applyFont="1" applyFill="1" applyBorder="1" applyAlignment="1">
      <alignment horizontal="center" vertical="center"/>
    </xf>
    <xf numFmtId="0" fontId="19" fillId="4" borderId="25" xfId="1" applyFont="1" applyFill="1" applyBorder="1" applyAlignment="1">
      <alignment horizontal="center" vertical="center"/>
    </xf>
    <xf numFmtId="0" fontId="46" fillId="2" borderId="36" xfId="1" applyFont="1" applyFill="1" applyBorder="1" applyAlignment="1">
      <alignment horizontal="center" vertical="center"/>
    </xf>
    <xf numFmtId="0" fontId="83" fillId="0" borderId="18" xfId="1" applyFont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left" vertical="center" wrapText="1"/>
    </xf>
    <xf numFmtId="0" fontId="7" fillId="5" borderId="36" xfId="0" applyFont="1" applyFill="1" applyBorder="1" applyAlignment="1">
      <alignment horizontal="left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40" fillId="8" borderId="19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17" fontId="9" fillId="5" borderId="21" xfId="0" applyNumberFormat="1" applyFont="1" applyFill="1" applyBorder="1" applyAlignment="1">
      <alignment horizontal="center" vertical="center" wrapText="1"/>
    </xf>
    <xf numFmtId="17" fontId="9" fillId="5" borderId="14" xfId="0" applyNumberFormat="1" applyFont="1" applyFill="1" applyBorder="1" applyAlignment="1">
      <alignment horizontal="center" vertical="center" wrapText="1"/>
    </xf>
    <xf numFmtId="17" fontId="9" fillId="5" borderId="20" xfId="0" applyNumberFormat="1" applyFont="1" applyFill="1" applyBorder="1" applyAlignment="1">
      <alignment horizontal="center" vertical="center" wrapText="1"/>
    </xf>
    <xf numFmtId="0" fontId="40" fillId="8" borderId="0" xfId="0" applyFont="1" applyFill="1" applyBorder="1" applyAlignment="1">
      <alignment horizontal="center"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83" fillId="2" borderId="35" xfId="1" applyFont="1" applyFill="1" applyBorder="1" applyAlignment="1">
      <alignment horizontal="center" vertical="center" wrapText="1"/>
    </xf>
    <xf numFmtId="0" fontId="83" fillId="2" borderId="36" xfId="1" applyFont="1" applyFill="1" applyBorder="1" applyAlignment="1">
      <alignment horizontal="center" vertical="center" wrapText="1"/>
    </xf>
    <xf numFmtId="0" fontId="83" fillId="0" borderId="21" xfId="1" applyFont="1" applyBorder="1" applyAlignment="1">
      <alignment horizontal="center" vertical="center"/>
    </xf>
    <xf numFmtId="0" fontId="83" fillId="0" borderId="14" xfId="1" applyFont="1" applyBorder="1" applyAlignment="1">
      <alignment horizontal="center" vertical="center"/>
    </xf>
    <xf numFmtId="0" fontId="83" fillId="17" borderId="32" xfId="1" applyFont="1" applyFill="1" applyBorder="1" applyAlignment="1">
      <alignment horizontal="center" vertical="center"/>
    </xf>
    <xf numFmtId="0" fontId="83" fillId="17" borderId="19" xfId="1" applyFont="1" applyFill="1" applyBorder="1" applyAlignment="1">
      <alignment horizontal="center" vertical="center"/>
    </xf>
    <xf numFmtId="0" fontId="83" fillId="17" borderId="58" xfId="1" applyFont="1" applyFill="1" applyBorder="1" applyAlignment="1">
      <alignment horizontal="center" vertical="center"/>
    </xf>
    <xf numFmtId="0" fontId="48" fillId="17" borderId="32" xfId="1" applyFont="1" applyFill="1" applyBorder="1" applyAlignment="1">
      <alignment horizontal="center" vertical="center"/>
    </xf>
    <xf numFmtId="0" fontId="48" fillId="17" borderId="19" xfId="1" applyFont="1" applyFill="1" applyBorder="1" applyAlignment="1">
      <alignment horizontal="center" vertical="center"/>
    </xf>
    <xf numFmtId="0" fontId="81" fillId="16" borderId="16" xfId="1" applyFont="1" applyFill="1" applyBorder="1" applyAlignment="1">
      <alignment horizontal="center" vertical="center" wrapText="1"/>
    </xf>
    <xf numFmtId="0" fontId="81" fillId="16" borderId="17" xfId="1" applyFont="1" applyFill="1" applyBorder="1" applyAlignment="1">
      <alignment horizontal="center" vertical="center" wrapText="1"/>
    </xf>
    <xf numFmtId="0" fontId="81" fillId="16" borderId="18" xfId="1" applyFont="1" applyFill="1" applyBorder="1" applyAlignment="1">
      <alignment horizontal="center" vertical="center" wrapText="1"/>
    </xf>
    <xf numFmtId="0" fontId="87" fillId="17" borderId="32" xfId="1" applyFont="1" applyFill="1" applyBorder="1" applyAlignment="1">
      <alignment horizontal="center" vertical="center" wrapText="1"/>
    </xf>
    <xf numFmtId="0" fontId="87" fillId="17" borderId="19" xfId="1" applyFont="1" applyFill="1" applyBorder="1" applyAlignment="1">
      <alignment horizontal="center" vertical="center"/>
    </xf>
    <xf numFmtId="0" fontId="83" fillId="2" borderId="33" xfId="1" applyFont="1" applyFill="1" applyBorder="1" applyAlignment="1">
      <alignment horizontal="center" vertical="center" wrapText="1"/>
    </xf>
    <xf numFmtId="0" fontId="83" fillId="2" borderId="50" xfId="1" applyFont="1" applyFill="1" applyBorder="1" applyAlignment="1">
      <alignment horizontal="center" vertical="center" wrapText="1"/>
    </xf>
    <xf numFmtId="0" fontId="83" fillId="2" borderId="33" xfId="1" applyFont="1" applyFill="1" applyBorder="1" applyAlignment="1">
      <alignment horizontal="center" vertical="center"/>
    </xf>
    <xf numFmtId="0" fontId="83" fillId="2" borderId="50" xfId="1" applyFont="1" applyFill="1" applyBorder="1" applyAlignment="1">
      <alignment horizontal="center" vertical="center"/>
    </xf>
    <xf numFmtId="0" fontId="83" fillId="2" borderId="22" xfId="1" applyFont="1" applyFill="1" applyBorder="1" applyAlignment="1">
      <alignment horizontal="center" vertical="center" wrapText="1"/>
    </xf>
    <xf numFmtId="0" fontId="83" fillId="2" borderId="23" xfId="1" applyFont="1" applyFill="1" applyBorder="1" applyAlignment="1">
      <alignment horizontal="center" vertical="center" wrapText="1"/>
    </xf>
    <xf numFmtId="0" fontId="83" fillId="2" borderId="32" xfId="1" applyFont="1" applyFill="1" applyBorder="1" applyAlignment="1">
      <alignment horizontal="center" vertical="center" wrapText="1"/>
    </xf>
    <xf numFmtId="0" fontId="83" fillId="2" borderId="19" xfId="1" applyFont="1" applyFill="1" applyBorder="1" applyAlignment="1">
      <alignment horizontal="center" vertical="center" wrapText="1"/>
    </xf>
    <xf numFmtId="0" fontId="83" fillId="2" borderId="16" xfId="1" applyFont="1" applyFill="1" applyBorder="1" applyAlignment="1">
      <alignment horizontal="center" vertical="center"/>
    </xf>
    <xf numFmtId="0" fontId="83" fillId="2" borderId="17" xfId="1" applyFont="1" applyFill="1" applyBorder="1" applyAlignment="1">
      <alignment horizontal="center" vertical="center"/>
    </xf>
    <xf numFmtId="0" fontId="83" fillId="2" borderId="18" xfId="1" applyFont="1" applyFill="1" applyBorder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/>
    </xf>
    <xf numFmtId="0" fontId="17" fillId="2" borderId="37" xfId="1" applyFont="1" applyFill="1" applyBorder="1" applyAlignment="1">
      <alignment horizontal="center" vertical="center"/>
    </xf>
    <xf numFmtId="0" fontId="20" fillId="4" borderId="1" xfId="1" applyFont="1" applyFill="1" applyBorder="1" applyAlignment="1">
      <alignment horizontal="left" vertical="center"/>
    </xf>
    <xf numFmtId="0" fontId="18" fillId="4" borderId="39" xfId="1" applyFont="1" applyFill="1" applyBorder="1" applyAlignment="1">
      <alignment horizontal="center" vertical="center"/>
    </xf>
    <xf numFmtId="0" fontId="45" fillId="3" borderId="13" xfId="1" applyFont="1" applyFill="1" applyBorder="1" applyAlignment="1">
      <alignment horizontal="center" vertical="center" wrapText="1"/>
    </xf>
    <xf numFmtId="0" fontId="45" fillId="3" borderId="14" xfId="1" applyFont="1" applyFill="1" applyBorder="1" applyAlignment="1">
      <alignment horizontal="center" vertical="center"/>
    </xf>
    <xf numFmtId="0" fontId="13" fillId="2" borderId="44" xfId="1" applyFont="1" applyFill="1" applyBorder="1" applyAlignment="1">
      <alignment horizontal="center" vertical="center" wrapText="1"/>
    </xf>
    <xf numFmtId="0" fontId="13" fillId="2" borderId="51" xfId="1" applyFont="1" applyFill="1" applyBorder="1" applyAlignment="1">
      <alignment horizontal="center" vertical="center" wrapText="1"/>
    </xf>
    <xf numFmtId="0" fontId="45" fillId="2" borderId="13" xfId="1" applyFont="1" applyFill="1" applyBorder="1" applyAlignment="1">
      <alignment horizontal="center" vertical="center" wrapText="1"/>
    </xf>
    <xf numFmtId="0" fontId="45" fillId="2" borderId="15" xfId="1" applyFont="1" applyFill="1" applyBorder="1" applyAlignment="1">
      <alignment horizontal="center" vertical="center" wrapText="1"/>
    </xf>
    <xf numFmtId="0" fontId="20" fillId="4" borderId="7" xfId="1" applyFont="1" applyFill="1" applyBorder="1" applyAlignment="1">
      <alignment horizontal="left" vertical="center"/>
    </xf>
    <xf numFmtId="0" fontId="18" fillId="4" borderId="28" xfId="1" applyFont="1" applyFill="1" applyBorder="1" applyAlignment="1">
      <alignment horizontal="center" vertical="center"/>
    </xf>
    <xf numFmtId="0" fontId="45" fillId="5" borderId="13" xfId="1" applyFont="1" applyFill="1" applyBorder="1" applyAlignment="1">
      <alignment horizontal="center" vertical="center"/>
    </xf>
    <xf numFmtId="0" fontId="45" fillId="5" borderId="14" xfId="1" applyFont="1" applyFill="1" applyBorder="1" applyAlignment="1">
      <alignment horizontal="center" vertical="center"/>
    </xf>
    <xf numFmtId="0" fontId="45" fillId="5" borderId="15" xfId="1" applyFont="1" applyFill="1" applyBorder="1" applyAlignment="1">
      <alignment horizontal="center" vertical="center"/>
    </xf>
    <xf numFmtId="0" fontId="13" fillId="16" borderId="22" xfId="1" applyFont="1" applyFill="1" applyBorder="1" applyAlignment="1">
      <alignment horizontal="center" vertical="center" wrapText="1"/>
    </xf>
    <xf numFmtId="0" fontId="13" fillId="16" borderId="6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left" vertical="center" wrapText="1"/>
    </xf>
    <xf numFmtId="0" fontId="22" fillId="0" borderId="0" xfId="1" applyFont="1" applyAlignment="1">
      <alignment horizontal="center" vertical="center"/>
    </xf>
    <xf numFmtId="0" fontId="13" fillId="2" borderId="33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3" fillId="2" borderId="33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2" borderId="30" xfId="1" applyFont="1" applyFill="1" applyBorder="1" applyAlignment="1">
      <alignment horizontal="center" vertical="center" wrapText="1"/>
    </xf>
    <xf numFmtId="0" fontId="13" fillId="2" borderId="53" xfId="1" applyFont="1" applyFill="1" applyBorder="1" applyAlignment="1">
      <alignment horizontal="center" vertical="center"/>
    </xf>
    <xf numFmtId="0" fontId="13" fillId="2" borderId="35" xfId="1" applyFont="1" applyFill="1" applyBorder="1" applyAlignment="1">
      <alignment horizontal="center" vertical="center"/>
    </xf>
    <xf numFmtId="0" fontId="13" fillId="2" borderId="49" xfId="1" applyFont="1" applyFill="1" applyBorder="1" applyAlignment="1">
      <alignment horizontal="center" vertical="center"/>
    </xf>
    <xf numFmtId="0" fontId="13" fillId="2" borderId="60" xfId="1" applyFont="1" applyFill="1" applyBorder="1" applyAlignment="1">
      <alignment horizontal="center" vertical="center" wrapText="1"/>
    </xf>
    <xf numFmtId="0" fontId="45" fillId="2" borderId="14" xfId="1" applyFont="1" applyFill="1" applyBorder="1" applyAlignment="1">
      <alignment horizontal="center" vertical="center" wrapText="1"/>
    </xf>
    <xf numFmtId="0" fontId="69" fillId="12" borderId="35" xfId="0" applyFont="1" applyFill="1" applyBorder="1" applyAlignment="1">
      <alignment horizontal="center" vertical="center" wrapText="1"/>
    </xf>
    <xf numFmtId="0" fontId="69" fillId="12" borderId="36" xfId="0" applyFont="1" applyFill="1" applyBorder="1" applyAlignment="1">
      <alignment horizontal="center" vertical="center" wrapText="1"/>
    </xf>
    <xf numFmtId="0" fontId="70" fillId="13" borderId="13" xfId="0" applyFont="1" applyFill="1" applyBorder="1" applyAlignment="1">
      <alignment horizontal="center" vertical="center" wrapText="1"/>
    </xf>
    <xf numFmtId="0" fontId="70" fillId="13" borderId="14" xfId="0" applyFont="1" applyFill="1" applyBorder="1" applyAlignment="1">
      <alignment horizontal="center" vertical="center" wrapText="1"/>
    </xf>
    <xf numFmtId="0" fontId="70" fillId="13" borderId="20" xfId="0" applyFont="1" applyFill="1" applyBorder="1" applyAlignment="1">
      <alignment horizontal="center" vertical="center" wrapText="1"/>
    </xf>
    <xf numFmtId="0" fontId="70" fillId="13" borderId="21" xfId="0" applyFont="1" applyFill="1" applyBorder="1" applyAlignment="1">
      <alignment horizontal="center" vertical="center" wrapText="1"/>
    </xf>
    <xf numFmtId="0" fontId="67" fillId="9" borderId="54" xfId="0" applyFont="1" applyFill="1" applyBorder="1" applyAlignment="1">
      <alignment horizontal="center" vertical="center"/>
    </xf>
    <xf numFmtId="0" fontId="67" fillId="9" borderId="53" xfId="0" applyFont="1" applyFill="1" applyBorder="1" applyAlignment="1">
      <alignment horizontal="center" vertical="center"/>
    </xf>
    <xf numFmtId="0" fontId="69" fillId="12" borderId="22" xfId="0" applyFont="1" applyFill="1" applyBorder="1" applyAlignment="1">
      <alignment horizontal="center" vertical="center" wrapText="1"/>
    </xf>
    <xf numFmtId="0" fontId="0" fillId="0" borderId="32" xfId="0" applyBorder="1"/>
    <xf numFmtId="0" fontId="69" fillId="12" borderId="33" xfId="0" applyFont="1" applyFill="1" applyBorder="1" applyAlignment="1">
      <alignment horizontal="center" vertical="center" wrapText="1"/>
    </xf>
    <xf numFmtId="0" fontId="69" fillId="12" borderId="34" xfId="0" applyFont="1" applyFill="1" applyBorder="1" applyAlignment="1">
      <alignment horizontal="center" vertical="center" wrapText="1"/>
    </xf>
    <xf numFmtId="0" fontId="69" fillId="12" borderId="8" xfId="0" applyFont="1" applyFill="1" applyBorder="1" applyAlignment="1">
      <alignment horizontal="center" vertical="center" wrapText="1"/>
    </xf>
    <xf numFmtId="0" fontId="69" fillId="12" borderId="43" xfId="0" applyFont="1" applyFill="1" applyBorder="1" applyAlignment="1">
      <alignment horizontal="center" vertical="center" wrapText="1"/>
    </xf>
    <xf numFmtId="0" fontId="69" fillId="12" borderId="7" xfId="0" applyFont="1" applyFill="1" applyBorder="1" applyAlignment="1">
      <alignment horizontal="center" vertical="center" wrapText="1"/>
    </xf>
    <xf numFmtId="0" fontId="69" fillId="12" borderId="11" xfId="0" applyFont="1" applyFill="1" applyBorder="1" applyAlignment="1">
      <alignment horizontal="center" vertical="center" wrapText="1"/>
    </xf>
    <xf numFmtId="0" fontId="69" fillId="12" borderId="46" xfId="0" applyFont="1" applyFill="1" applyBorder="1" applyAlignment="1">
      <alignment horizontal="center" vertical="center" wrapText="1"/>
    </xf>
    <xf numFmtId="0" fontId="69" fillId="12" borderId="10" xfId="0" applyFont="1" applyFill="1" applyBorder="1" applyAlignment="1">
      <alignment horizontal="center" vertical="center" wrapText="1"/>
    </xf>
    <xf numFmtId="0" fontId="69" fillId="12" borderId="7" xfId="0" applyFont="1" applyFill="1" applyBorder="1" applyAlignment="1">
      <alignment horizontal="center" vertical="center"/>
    </xf>
    <xf numFmtId="0" fontId="69" fillId="12" borderId="11" xfId="0" applyFont="1" applyFill="1" applyBorder="1" applyAlignment="1">
      <alignment horizontal="center" vertical="center"/>
    </xf>
    <xf numFmtId="0" fontId="69" fillId="12" borderId="31" xfId="0" applyFont="1" applyFill="1" applyBorder="1" applyAlignment="1">
      <alignment horizontal="center" vertical="center"/>
    </xf>
    <xf numFmtId="0" fontId="69" fillId="12" borderId="26" xfId="0" applyFont="1" applyFill="1" applyBorder="1" applyAlignment="1">
      <alignment horizontal="center" vertical="center"/>
    </xf>
    <xf numFmtId="0" fontId="69" fillId="12" borderId="47" xfId="0" applyFont="1" applyFill="1" applyBorder="1" applyAlignment="1">
      <alignment horizontal="center" vertical="center" wrapText="1"/>
    </xf>
    <xf numFmtId="0" fontId="69" fillId="12" borderId="56" xfId="0" applyFont="1" applyFill="1" applyBorder="1" applyAlignment="1">
      <alignment horizontal="center" vertical="center" wrapText="1"/>
    </xf>
    <xf numFmtId="0" fontId="37" fillId="0" borderId="57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72" fillId="11" borderId="57" xfId="0" applyFont="1" applyFill="1" applyBorder="1" applyAlignment="1">
      <alignment horizontal="center" vertical="center" wrapText="1"/>
    </xf>
    <xf numFmtId="0" fontId="72" fillId="11" borderId="3" xfId="0" applyFont="1" applyFill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/>
    </xf>
    <xf numFmtId="0" fontId="47" fillId="0" borderId="57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73" fillId="11" borderId="57" xfId="0" applyFont="1" applyFill="1" applyBorder="1" applyAlignment="1">
      <alignment horizontal="center" vertical="center" wrapText="1"/>
    </xf>
    <xf numFmtId="0" fontId="73" fillId="11" borderId="3" xfId="0" applyFont="1" applyFill="1" applyBorder="1" applyAlignment="1">
      <alignment horizontal="center" vertical="center" wrapText="1"/>
    </xf>
    <xf numFmtId="0" fontId="73" fillId="11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72" fillId="11" borderId="2" xfId="0" applyFont="1" applyFill="1" applyBorder="1" applyAlignment="1">
      <alignment horizontal="left" vertical="center" wrapText="1"/>
    </xf>
    <xf numFmtId="0" fontId="72" fillId="11" borderId="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4" borderId="7" xfId="2" applyFont="1" applyFill="1" applyBorder="1" applyAlignment="1">
      <alignment horizontal="left" vertical="center"/>
    </xf>
    <xf numFmtId="0" fontId="83" fillId="10" borderId="13" xfId="3" applyFont="1" applyFill="1" applyBorder="1" applyAlignment="1">
      <alignment horizontal="center" vertical="center"/>
    </xf>
    <xf numFmtId="0" fontId="83" fillId="10" borderId="14" xfId="3" applyFont="1" applyFill="1" applyBorder="1" applyAlignment="1">
      <alignment horizontal="center" vertical="center"/>
    </xf>
    <xf numFmtId="0" fontId="83" fillId="10" borderId="20" xfId="3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left" vertical="center" wrapText="1"/>
    </xf>
    <xf numFmtId="0" fontId="13" fillId="0" borderId="39" xfId="0" applyFont="1" applyBorder="1" applyAlignment="1">
      <alignment horizontal="center" vertical="center"/>
    </xf>
    <xf numFmtId="0" fontId="13" fillId="16" borderId="13" xfId="1" applyFont="1" applyFill="1" applyBorder="1" applyAlignment="1" applyProtection="1">
      <alignment horizontal="center" vertical="center" wrapText="1"/>
    </xf>
    <xf numFmtId="0" fontId="13" fillId="16" borderId="14" xfId="1" applyFont="1" applyFill="1" applyBorder="1" applyAlignment="1" applyProtection="1">
      <alignment horizontal="center" vertical="center" wrapText="1"/>
    </xf>
    <xf numFmtId="0" fontId="13" fillId="16" borderId="15" xfId="1" applyFont="1" applyFill="1" applyBorder="1" applyAlignment="1" applyProtection="1">
      <alignment horizontal="center" vertical="center" wrapText="1"/>
    </xf>
    <xf numFmtId="0" fontId="82" fillId="9" borderId="13" xfId="0" applyFont="1" applyFill="1" applyBorder="1" applyAlignment="1">
      <alignment horizontal="center" vertical="center" wrapText="1"/>
    </xf>
    <xf numFmtId="0" fontId="82" fillId="9" borderId="14" xfId="0" applyFont="1" applyFill="1" applyBorder="1" applyAlignment="1">
      <alignment horizontal="center" vertical="center" wrapText="1"/>
    </xf>
    <xf numFmtId="0" fontId="82" fillId="9" borderId="15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3" fillId="0" borderId="7" xfId="1" applyFont="1" applyFill="1" applyBorder="1" applyAlignment="1" applyProtection="1">
      <alignment horizontal="left" vertical="center" wrapText="1"/>
    </xf>
    <xf numFmtId="0" fontId="83" fillId="10" borderId="32" xfId="3" applyFont="1" applyFill="1" applyBorder="1" applyAlignment="1">
      <alignment horizontal="center" vertical="top"/>
    </xf>
    <xf numFmtId="0" fontId="83" fillId="10" borderId="19" xfId="3" applyFont="1" applyFill="1" applyBorder="1" applyAlignment="1">
      <alignment horizontal="center" vertical="top"/>
    </xf>
    <xf numFmtId="0" fontId="83" fillId="10" borderId="58" xfId="3" applyFont="1" applyFill="1" applyBorder="1" applyAlignment="1">
      <alignment horizontal="center" vertical="top"/>
    </xf>
    <xf numFmtId="0" fontId="45" fillId="2" borderId="16" xfId="0" applyFont="1" applyFill="1" applyBorder="1" applyAlignment="1">
      <alignment horizontal="center" vertical="center"/>
    </xf>
    <xf numFmtId="0" fontId="45" fillId="2" borderId="17" xfId="0" applyFont="1" applyFill="1" applyBorder="1" applyAlignment="1">
      <alignment horizontal="center" vertical="center"/>
    </xf>
    <xf numFmtId="0" fontId="45" fillId="2" borderId="18" xfId="0" applyFont="1" applyFill="1" applyBorder="1" applyAlignment="1">
      <alignment horizontal="center" vertical="center"/>
    </xf>
    <xf numFmtId="0" fontId="46" fillId="9" borderId="13" xfId="0" applyFont="1" applyFill="1" applyBorder="1" applyAlignment="1">
      <alignment horizontal="center" vertical="center" wrapText="1"/>
    </xf>
    <xf numFmtId="0" fontId="46" fillId="9" borderId="14" xfId="0" applyFont="1" applyFill="1" applyBorder="1" applyAlignment="1">
      <alignment horizontal="center" vertical="center" wrapText="1"/>
    </xf>
    <xf numFmtId="0" fontId="46" fillId="9" borderId="15" xfId="0" applyFont="1" applyFill="1" applyBorder="1" applyAlignment="1">
      <alignment horizontal="center" vertical="center" wrapText="1"/>
    </xf>
    <xf numFmtId="0" fontId="13" fillId="10" borderId="9" xfId="3" applyFont="1" applyFill="1" applyBorder="1" applyAlignment="1">
      <alignment horizontal="center" vertical="center"/>
    </xf>
    <xf numFmtId="0" fontId="13" fillId="10" borderId="10" xfId="3" applyFont="1" applyFill="1" applyBorder="1" applyAlignment="1">
      <alignment horizontal="center" vertical="center"/>
    </xf>
    <xf numFmtId="0" fontId="13" fillId="16" borderId="13" xfId="1" applyFont="1" applyFill="1" applyBorder="1" applyAlignment="1">
      <alignment horizontal="center" vertical="center" wrapText="1"/>
    </xf>
    <xf numFmtId="0" fontId="13" fillId="16" borderId="14" xfId="1" applyFont="1" applyFill="1" applyBorder="1" applyAlignment="1">
      <alignment horizontal="center" vertical="center" wrapText="1"/>
    </xf>
    <xf numFmtId="0" fontId="13" fillId="16" borderId="15" xfId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3" xfId="1" xr:uid="{00000000-0005-0000-0000-000001000000}"/>
    <cellStyle name="Normal 3 3" xfId="2" xr:uid="{00000000-0005-0000-0000-000002000000}"/>
    <cellStyle name="Percent" xfId="4" builtinId="5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KTA\Sharing%20folder2\VICKY\DVR%2024-25\DVR%2024-25\JAY%20BHARAT%20TEAM%2024-25\MR.%20RAMESH%20CHANDRA%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ZAFFARNAGAR"/>
      <sheetName val="BIJNOR"/>
      <sheetName val="KOTDWAR"/>
      <sheetName val="PAURI GARHWAL "/>
      <sheetName val="WORKSHOP"/>
      <sheetName val="Summary"/>
      <sheetName val="I.P. SUMMARY 24-25"/>
      <sheetName val="SHORT I.P. "/>
      <sheetName val="SCHOOL SUMMARY CHART "/>
      <sheetName val="J.W."/>
    </sheetNames>
    <sheetDataSet>
      <sheetData sheetId="0"/>
      <sheetData sheetId="1"/>
      <sheetData sheetId="2"/>
      <sheetData sheetId="3"/>
      <sheetData sheetId="4">
        <row r="2">
          <cell r="A2" t="str">
            <v>S.NO</v>
          </cell>
        </row>
        <row r="4">
          <cell r="S4" t="str">
            <v>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ipalmatric@nationalmodel.co.in" TargetMode="External"/><Relationship Id="rId2" Type="http://schemas.openxmlformats.org/officeDocument/2006/relationships/hyperlink" Target="mailto:kpmtrust@gmail.com" TargetMode="External"/><Relationship Id="rId1" Type="http://schemas.openxmlformats.org/officeDocument/2006/relationships/hyperlink" Target="mailto:kvmhsschool@gmail.com" TargetMode="External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"/>
  <sheetViews>
    <sheetView zoomScale="55" zoomScaleNormal="55" workbookViewId="0">
      <pane ySplit="3" topLeftCell="A4" activePane="bottomLeft" state="frozen"/>
      <selection activeCell="BT13" sqref="BT13"/>
      <selection pane="bottomLeft"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1.140625" style="21" customWidth="1"/>
    <col min="4" max="4" width="16" style="21" customWidth="1"/>
    <col min="5" max="5" width="25.7109375" style="21" customWidth="1"/>
    <col min="6" max="6" width="18.28515625" style="21" hidden="1" customWidth="1"/>
    <col min="7" max="7" width="17.570312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21" width="5.28515625" style="13" hidden="1" customWidth="1"/>
    <col min="22" max="33" width="5.28515625" style="6" hidden="1" customWidth="1"/>
    <col min="34" max="39" width="4.7109375" style="6" hidden="1" customWidth="1"/>
    <col min="40" max="69" width="5.28515625" style="6" hidden="1" customWidth="1"/>
    <col min="70" max="70" width="7.7109375" style="6" customWidth="1"/>
    <col min="71" max="71" width="25" style="6" customWidth="1"/>
    <col min="72" max="72" width="28.140625" style="6" customWidth="1"/>
    <col min="73" max="73" width="32.85546875" style="23" customWidth="1"/>
    <col min="74" max="74" width="6.28515625" style="13" customWidth="1"/>
    <col min="75" max="16384" width="9.140625" style="13"/>
  </cols>
  <sheetData>
    <row r="1" spans="1:99" s="29" customFormat="1" ht="33.75" customHeight="1" thickBot="1" x14ac:dyDescent="0.3">
      <c r="A1" s="398" t="s">
        <v>614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94"/>
      <c r="BX1" s="94"/>
      <c r="BY1" s="94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</row>
    <row r="2" spans="1:99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106</v>
      </c>
      <c r="Q2" s="390"/>
      <c r="R2" s="391"/>
      <c r="S2" s="389" t="s">
        <v>107</v>
      </c>
      <c r="T2" s="390"/>
      <c r="U2" s="391"/>
      <c r="V2" s="389" t="s">
        <v>35</v>
      </c>
      <c r="W2" s="390"/>
      <c r="X2" s="391"/>
      <c r="Y2" s="389" t="s">
        <v>36</v>
      </c>
      <c r="Z2" s="390"/>
      <c r="AA2" s="397"/>
      <c r="AB2" s="396" t="s">
        <v>45</v>
      </c>
      <c r="AC2" s="390"/>
      <c r="AD2" s="397"/>
      <c r="AE2" s="396" t="s">
        <v>46</v>
      </c>
      <c r="AF2" s="390"/>
      <c r="AG2" s="397"/>
      <c r="AH2" s="396" t="s">
        <v>47</v>
      </c>
      <c r="AI2" s="390"/>
      <c r="AJ2" s="397"/>
      <c r="AK2" s="396" t="s">
        <v>48</v>
      </c>
      <c r="AL2" s="390"/>
      <c r="AM2" s="397"/>
      <c r="AN2" s="396" t="s">
        <v>113</v>
      </c>
      <c r="AO2" s="390"/>
      <c r="AP2" s="397"/>
      <c r="AQ2" s="396" t="s">
        <v>122</v>
      </c>
      <c r="AR2" s="390"/>
      <c r="AS2" s="397"/>
      <c r="AT2" s="396" t="s">
        <v>123</v>
      </c>
      <c r="AU2" s="390"/>
      <c r="AV2" s="397"/>
      <c r="AW2" s="396" t="s">
        <v>52</v>
      </c>
      <c r="AX2" s="390"/>
      <c r="AY2" s="397"/>
      <c r="AZ2" s="396" t="s">
        <v>54</v>
      </c>
      <c r="BA2" s="390"/>
      <c r="BB2" s="397"/>
      <c r="BC2" s="396" t="s">
        <v>53</v>
      </c>
      <c r="BD2" s="390"/>
      <c r="BE2" s="397"/>
      <c r="BF2" s="396" t="s">
        <v>126</v>
      </c>
      <c r="BG2" s="390"/>
      <c r="BH2" s="397"/>
      <c r="BI2" s="396" t="s">
        <v>125</v>
      </c>
      <c r="BJ2" s="390"/>
      <c r="BK2" s="397"/>
      <c r="BL2" s="396" t="s">
        <v>127</v>
      </c>
      <c r="BM2" s="390"/>
      <c r="BN2" s="397"/>
      <c r="BO2" s="396" t="s">
        <v>128</v>
      </c>
      <c r="BP2" s="390"/>
      <c r="BQ2" s="397"/>
      <c r="BR2" s="394" t="s">
        <v>28</v>
      </c>
      <c r="BS2" s="387" t="s">
        <v>10</v>
      </c>
      <c r="BT2" s="387" t="s">
        <v>18</v>
      </c>
      <c r="BU2" s="387" t="s">
        <v>14</v>
      </c>
      <c r="BV2" s="401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</row>
    <row r="3" spans="1:99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79" t="s">
        <v>32</v>
      </c>
      <c r="AB3" s="130" t="s">
        <v>12</v>
      </c>
      <c r="AC3" s="126" t="s">
        <v>13</v>
      </c>
      <c r="AD3" s="126" t="s">
        <v>32</v>
      </c>
      <c r="AE3" s="126" t="s">
        <v>12</v>
      </c>
      <c r="AF3" s="126" t="s">
        <v>13</v>
      </c>
      <c r="AG3" s="128" t="s">
        <v>32</v>
      </c>
      <c r="AH3" s="58" t="s">
        <v>12</v>
      </c>
      <c r="AI3" s="102" t="s">
        <v>13</v>
      </c>
      <c r="AJ3" s="49" t="s">
        <v>32</v>
      </c>
      <c r="AK3" s="130" t="s">
        <v>12</v>
      </c>
      <c r="AL3" s="126" t="s">
        <v>13</v>
      </c>
      <c r="AM3" s="128" t="s">
        <v>32</v>
      </c>
      <c r="AN3" s="126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126" t="s">
        <v>12</v>
      </c>
      <c r="AU3" s="126" t="s">
        <v>13</v>
      </c>
      <c r="AV3" s="128" t="s">
        <v>32</v>
      </c>
      <c r="AW3" s="126" t="s">
        <v>12</v>
      </c>
      <c r="AX3" s="126" t="s">
        <v>13</v>
      </c>
      <c r="AY3" s="128" t="s">
        <v>32</v>
      </c>
      <c r="AZ3" s="61" t="s">
        <v>12</v>
      </c>
      <c r="BA3" s="126" t="s">
        <v>13</v>
      </c>
      <c r="BB3" s="128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126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395"/>
      <c r="BS3" s="388"/>
      <c r="BT3" s="388"/>
      <c r="BU3" s="388"/>
      <c r="BV3" s="402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</row>
    <row r="4" spans="1:99" ht="77.45" customHeight="1" x14ac:dyDescent="0.25">
      <c r="A4" s="63">
        <f t="shared" ref="A4:A27" si="0">ROW()-3</f>
        <v>1</v>
      </c>
      <c r="B4" s="195" t="s">
        <v>749</v>
      </c>
      <c r="C4" s="196" t="s">
        <v>750</v>
      </c>
      <c r="D4" s="38"/>
      <c r="E4" s="134"/>
      <c r="F4" s="134"/>
      <c r="G4" s="196" t="s">
        <v>230</v>
      </c>
      <c r="H4" s="196" t="s">
        <v>15</v>
      </c>
      <c r="I4" s="134">
        <v>850</v>
      </c>
      <c r="J4" s="201"/>
      <c r="K4" s="202"/>
      <c r="L4" s="202"/>
      <c r="M4" s="202"/>
      <c r="N4" s="202"/>
      <c r="O4" s="202"/>
      <c r="P4" s="203"/>
      <c r="Q4" s="203"/>
      <c r="R4" s="203"/>
      <c r="S4" s="204"/>
      <c r="T4" s="203"/>
      <c r="U4" s="203"/>
      <c r="V4" s="204" t="s">
        <v>31</v>
      </c>
      <c r="W4" s="203"/>
      <c r="X4" s="203"/>
      <c r="Y4" s="203"/>
      <c r="Z4" s="203"/>
      <c r="AA4" s="203"/>
      <c r="AB4" s="204"/>
      <c r="AC4" s="203"/>
      <c r="AD4" s="203"/>
      <c r="AE4" s="14"/>
      <c r="AF4" s="5"/>
      <c r="AG4" s="5"/>
      <c r="AH4" s="2"/>
      <c r="AI4" s="5"/>
      <c r="AJ4" s="5"/>
      <c r="AK4" s="5"/>
      <c r="AL4" s="5"/>
      <c r="AM4" s="5"/>
      <c r="AN4" s="2"/>
      <c r="AO4" s="5"/>
      <c r="AP4" s="5"/>
      <c r="AQ4" s="2"/>
      <c r="AR4" s="5"/>
      <c r="AS4" s="5"/>
      <c r="AT4" s="14"/>
      <c r="AU4" s="5"/>
      <c r="AV4" s="5"/>
      <c r="AW4" s="14"/>
      <c r="AX4" s="5"/>
      <c r="AY4" s="5"/>
      <c r="AZ4" s="43"/>
      <c r="BA4" s="5"/>
      <c r="BB4" s="5"/>
      <c r="BC4" s="43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135">
        <f t="shared" ref="BR4:BR7" si="1">COUNTA(J4:BQ4)</f>
        <v>1</v>
      </c>
      <c r="BS4" s="28" t="s">
        <v>751</v>
      </c>
      <c r="BT4" s="28"/>
      <c r="BU4" s="20" t="s">
        <v>752</v>
      </c>
      <c r="BV4" s="27" t="str">
        <f t="shared" ref="BV4:BV6" si="2">IF(BR4&lt;=0,"0",IF(BR4=1,"1",IF(BR4=2,"2",IF(BR4=3,"3",IF(BR4&gt;=4,"4")))))</f>
        <v>1</v>
      </c>
    </row>
    <row r="5" spans="1:99" ht="77.45" customHeight="1" x14ac:dyDescent="0.25">
      <c r="A5" s="63">
        <f t="shared" si="0"/>
        <v>2</v>
      </c>
      <c r="B5" s="185" t="s">
        <v>746</v>
      </c>
      <c r="C5" s="134" t="s">
        <v>747</v>
      </c>
      <c r="D5" s="38"/>
      <c r="E5" s="197"/>
      <c r="F5" s="134"/>
      <c r="G5" s="134" t="s">
        <v>230</v>
      </c>
      <c r="H5" s="134" t="s">
        <v>15</v>
      </c>
      <c r="I5" s="134"/>
      <c r="J5" s="201"/>
      <c r="K5" s="202"/>
      <c r="L5" s="202"/>
      <c r="M5" s="202"/>
      <c r="N5" s="202"/>
      <c r="O5" s="202"/>
      <c r="P5" s="203"/>
      <c r="Q5" s="203"/>
      <c r="R5" s="203"/>
      <c r="S5" s="204"/>
      <c r="T5" s="203"/>
      <c r="U5" s="203"/>
      <c r="V5" s="212" t="s">
        <v>31</v>
      </c>
      <c r="W5" s="213"/>
      <c r="X5" s="213"/>
      <c r="Y5" s="212" t="s">
        <v>31</v>
      </c>
      <c r="Z5" s="213"/>
      <c r="AA5" s="213"/>
      <c r="AB5" s="204"/>
      <c r="AC5" s="203"/>
      <c r="AD5" s="203"/>
      <c r="AE5" s="14"/>
      <c r="AF5" s="5"/>
      <c r="AG5" s="5"/>
      <c r="AH5" s="2"/>
      <c r="AI5" s="5"/>
      <c r="AJ5" s="5"/>
      <c r="AK5" s="5"/>
      <c r="AL5" s="5"/>
      <c r="AM5" s="5"/>
      <c r="AN5" s="2"/>
      <c r="AO5" s="5"/>
      <c r="AP5" s="5"/>
      <c r="AQ5" s="2"/>
      <c r="AR5" s="5"/>
      <c r="AS5" s="5"/>
      <c r="AT5" s="14"/>
      <c r="AU5" s="5"/>
      <c r="AV5" s="5"/>
      <c r="AW5" s="14"/>
      <c r="AX5" s="5"/>
      <c r="AY5" s="5"/>
      <c r="AZ5" s="43"/>
      <c r="BA5" s="5"/>
      <c r="BB5" s="5"/>
      <c r="BC5" s="43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135">
        <f t="shared" si="1"/>
        <v>2</v>
      </c>
      <c r="BS5" s="28" t="s">
        <v>798</v>
      </c>
      <c r="BT5" s="28" t="s">
        <v>748</v>
      </c>
      <c r="BU5" s="20" t="s">
        <v>799</v>
      </c>
      <c r="BV5" s="27" t="str">
        <f t="shared" si="2"/>
        <v>2</v>
      </c>
    </row>
    <row r="6" spans="1:99" ht="77.45" customHeight="1" x14ac:dyDescent="0.25">
      <c r="A6" s="63">
        <f t="shared" si="0"/>
        <v>3</v>
      </c>
      <c r="B6" s="185" t="s">
        <v>305</v>
      </c>
      <c r="C6" s="134" t="s">
        <v>306</v>
      </c>
      <c r="D6" s="38"/>
      <c r="E6" s="197"/>
      <c r="F6" s="134"/>
      <c r="G6" s="134" t="s">
        <v>230</v>
      </c>
      <c r="H6" s="134" t="s">
        <v>15</v>
      </c>
      <c r="I6" s="134"/>
      <c r="J6" s="201"/>
      <c r="K6" s="202"/>
      <c r="L6" s="202"/>
      <c r="M6" s="202"/>
      <c r="N6" s="202"/>
      <c r="O6" s="202"/>
      <c r="P6" s="203"/>
      <c r="Q6" s="203"/>
      <c r="R6" s="203"/>
      <c r="S6" s="204"/>
      <c r="T6" s="203"/>
      <c r="U6" s="203"/>
      <c r="V6" s="212" t="s">
        <v>31</v>
      </c>
      <c r="W6" s="213"/>
      <c r="X6" s="213"/>
      <c r="Y6" s="212" t="s">
        <v>31</v>
      </c>
      <c r="Z6" s="213"/>
      <c r="AA6" s="213"/>
      <c r="AB6" s="204"/>
      <c r="AC6" s="203"/>
      <c r="AD6" s="203"/>
      <c r="AE6" s="14"/>
      <c r="AF6" s="5"/>
      <c r="AG6" s="5"/>
      <c r="AH6" s="2"/>
      <c r="AI6" s="5"/>
      <c r="AJ6" s="5"/>
      <c r="AK6" s="5"/>
      <c r="AL6" s="5"/>
      <c r="AM6" s="5"/>
      <c r="AN6" s="2"/>
      <c r="AO6" s="5"/>
      <c r="AP6" s="5"/>
      <c r="AQ6" s="2"/>
      <c r="AR6" s="5"/>
      <c r="AS6" s="5"/>
      <c r="AT6" s="14"/>
      <c r="AU6" s="5"/>
      <c r="AV6" s="5"/>
      <c r="AW6" s="14"/>
      <c r="AX6" s="5"/>
      <c r="AY6" s="5"/>
      <c r="AZ6" s="43"/>
      <c r="BA6" s="5"/>
      <c r="BB6" s="5"/>
      <c r="BC6" s="43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135">
        <f t="shared" si="1"/>
        <v>2</v>
      </c>
      <c r="BS6" s="28" t="s">
        <v>756</v>
      </c>
      <c r="BT6" s="28"/>
      <c r="BU6" s="20" t="s">
        <v>800</v>
      </c>
      <c r="BV6" s="27" t="str">
        <f t="shared" si="2"/>
        <v>2</v>
      </c>
    </row>
    <row r="7" spans="1:99" ht="77.45" customHeight="1" x14ac:dyDescent="0.25">
      <c r="A7" s="63">
        <f t="shared" si="0"/>
        <v>4</v>
      </c>
      <c r="B7" s="184" t="s">
        <v>525</v>
      </c>
      <c r="C7" s="139" t="s">
        <v>526</v>
      </c>
      <c r="D7" s="139">
        <v>9443193232</v>
      </c>
      <c r="E7" s="139" t="s">
        <v>527</v>
      </c>
      <c r="F7" s="139"/>
      <c r="G7" s="139" t="s">
        <v>230</v>
      </c>
      <c r="H7" s="134" t="s">
        <v>15</v>
      </c>
      <c r="I7" s="134">
        <v>650</v>
      </c>
      <c r="J7" s="203"/>
      <c r="K7" s="205"/>
      <c r="L7" s="205"/>
      <c r="M7" s="205"/>
      <c r="N7" s="205"/>
      <c r="O7" s="205"/>
      <c r="P7" s="203"/>
      <c r="Q7" s="203"/>
      <c r="R7" s="203"/>
      <c r="S7" s="204" t="s">
        <v>31</v>
      </c>
      <c r="T7" s="203"/>
      <c r="U7" s="203"/>
      <c r="V7" s="212" t="s">
        <v>31</v>
      </c>
      <c r="W7" s="213"/>
      <c r="X7" s="213"/>
      <c r="Y7" s="213"/>
      <c r="Z7" s="213"/>
      <c r="AA7" s="213"/>
      <c r="AB7" s="203"/>
      <c r="AC7" s="203"/>
      <c r="AD7" s="203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135">
        <f t="shared" si="1"/>
        <v>2</v>
      </c>
      <c r="BS7" s="28" t="s">
        <v>755</v>
      </c>
      <c r="BT7" s="28" t="s">
        <v>725</v>
      </c>
      <c r="BU7" s="20" t="s">
        <v>754</v>
      </c>
      <c r="BV7" s="27" t="str">
        <f t="shared" ref="BV7:BV9" si="3">IF(BR7&lt;=0,"0",IF(BR7=1,"1",IF(BR7=2,"2",IF(BR7=3,"3",IF(BR7&gt;=4,"4")))))</f>
        <v>2</v>
      </c>
    </row>
    <row r="8" spans="1:99" ht="23.25" x14ac:dyDescent="0.25">
      <c r="A8" s="149"/>
      <c r="B8" s="186"/>
      <c r="C8" s="144"/>
      <c r="D8" s="144"/>
      <c r="E8" s="144"/>
      <c r="F8" s="144"/>
      <c r="G8" s="144"/>
      <c r="H8" s="143"/>
      <c r="I8" s="145"/>
      <c r="J8" s="206"/>
      <c r="K8" s="207"/>
      <c r="L8" s="207"/>
      <c r="M8" s="207"/>
      <c r="N8" s="207"/>
      <c r="O8" s="207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8"/>
      <c r="BV8" s="143"/>
    </row>
    <row r="9" spans="1:99" ht="63.6" customHeight="1" x14ac:dyDescent="0.25">
      <c r="A9" s="63">
        <f>ROW()-4</f>
        <v>5</v>
      </c>
      <c r="B9" s="185" t="s">
        <v>728</v>
      </c>
      <c r="C9" s="134" t="s">
        <v>541</v>
      </c>
      <c r="D9" s="183"/>
      <c r="E9" s="134"/>
      <c r="F9" s="134"/>
      <c r="G9" s="134" t="s">
        <v>230</v>
      </c>
      <c r="H9" s="134" t="s">
        <v>30</v>
      </c>
      <c r="I9" s="134">
        <v>700</v>
      </c>
      <c r="J9" s="201"/>
      <c r="K9" s="202"/>
      <c r="L9" s="202"/>
      <c r="M9" s="208"/>
      <c r="N9" s="202"/>
      <c r="O9" s="202"/>
      <c r="P9" s="203"/>
      <c r="Q9" s="203"/>
      <c r="R9" s="203"/>
      <c r="S9" s="204" t="s">
        <v>31</v>
      </c>
      <c r="T9" s="203"/>
      <c r="U9" s="203"/>
      <c r="V9" s="204"/>
      <c r="W9" s="203"/>
      <c r="X9" s="203"/>
      <c r="Y9" s="204"/>
      <c r="Z9" s="203"/>
      <c r="AA9" s="203"/>
      <c r="AB9" s="203"/>
      <c r="AC9" s="203"/>
      <c r="AD9" s="203"/>
      <c r="AE9" s="5"/>
      <c r="AF9" s="5"/>
      <c r="AG9" s="5"/>
      <c r="AH9" s="2"/>
      <c r="AI9" s="5"/>
      <c r="AJ9" s="5"/>
      <c r="AK9" s="5"/>
      <c r="AL9" s="5"/>
      <c r="AM9" s="5"/>
      <c r="AN9" s="2"/>
      <c r="AO9" s="5"/>
      <c r="AP9" s="5"/>
      <c r="AQ9" s="2"/>
      <c r="AR9" s="5"/>
      <c r="AS9" s="5"/>
      <c r="AT9" s="14"/>
      <c r="AU9" s="5"/>
      <c r="AV9" s="5"/>
      <c r="AW9" s="5"/>
      <c r="AX9" s="5"/>
      <c r="AY9" s="5"/>
      <c r="AZ9" s="43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135">
        <f>COUNTA(J9:BQ9)</f>
        <v>1</v>
      </c>
      <c r="BS9" s="28"/>
      <c r="BT9" s="28" t="s">
        <v>725</v>
      </c>
      <c r="BU9" s="20" t="s">
        <v>724</v>
      </c>
      <c r="BV9" s="27" t="str">
        <f t="shared" si="3"/>
        <v>1</v>
      </c>
    </row>
    <row r="10" spans="1:99" ht="43.9" customHeight="1" x14ac:dyDescent="0.25">
      <c r="A10" s="97"/>
      <c r="B10" s="138"/>
      <c r="C10" s="134"/>
      <c r="D10" s="134"/>
      <c r="E10" s="134"/>
      <c r="F10" s="134"/>
      <c r="G10" s="134"/>
      <c r="H10" s="134"/>
      <c r="I10" s="134"/>
      <c r="J10" s="201"/>
      <c r="K10" s="202"/>
      <c r="L10" s="202"/>
      <c r="M10" s="208"/>
      <c r="N10" s="202"/>
      <c r="O10" s="202"/>
      <c r="P10" s="203"/>
      <c r="Q10" s="203"/>
      <c r="R10" s="203"/>
      <c r="S10" s="204"/>
      <c r="T10" s="203"/>
      <c r="U10" s="203"/>
      <c r="V10" s="204"/>
      <c r="W10" s="203"/>
      <c r="X10" s="203"/>
      <c r="Y10" s="204"/>
      <c r="Z10" s="203"/>
      <c r="AA10" s="203"/>
      <c r="AB10" s="203"/>
      <c r="AC10" s="203"/>
      <c r="AD10" s="203"/>
      <c r="AE10" s="5"/>
      <c r="AF10" s="5"/>
      <c r="AG10" s="5"/>
      <c r="AH10" s="2"/>
      <c r="AI10" s="5"/>
      <c r="AJ10" s="5"/>
      <c r="AK10" s="5"/>
      <c r="AL10" s="5"/>
      <c r="AM10" s="5"/>
      <c r="AN10" s="2"/>
      <c r="AO10" s="5"/>
      <c r="AP10" s="5"/>
      <c r="AQ10" s="2"/>
      <c r="AR10" s="5"/>
      <c r="AS10" s="5"/>
      <c r="AT10" s="14"/>
      <c r="AU10" s="5"/>
      <c r="AV10" s="5"/>
      <c r="AW10" s="5"/>
      <c r="AX10" s="5"/>
      <c r="AY10" s="5"/>
      <c r="AZ10" s="43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135"/>
      <c r="BS10" s="28"/>
      <c r="BT10" s="28"/>
      <c r="BU10" s="20"/>
      <c r="BV10" s="27"/>
    </row>
    <row r="11" spans="1:99" ht="43.9" customHeight="1" x14ac:dyDescent="0.25">
      <c r="A11" s="97"/>
      <c r="B11" s="138"/>
      <c r="C11" s="134"/>
      <c r="D11" s="134"/>
      <c r="E11" s="134"/>
      <c r="F11" s="134"/>
      <c r="G11" s="134"/>
      <c r="H11" s="134"/>
      <c r="I11" s="134"/>
      <c r="J11" s="4"/>
      <c r="K11" s="31"/>
      <c r="L11" s="31"/>
      <c r="M11" s="2"/>
      <c r="N11" s="31"/>
      <c r="O11" s="31"/>
      <c r="P11" s="38"/>
      <c r="Q11" s="38"/>
      <c r="R11" s="38"/>
      <c r="S11" s="14"/>
      <c r="T11" s="38"/>
      <c r="U11" s="38"/>
      <c r="V11" s="14"/>
      <c r="W11" s="5"/>
      <c r="X11" s="5"/>
      <c r="Y11" s="14"/>
      <c r="Z11" s="5"/>
      <c r="AA11" s="5"/>
      <c r="AB11" s="5"/>
      <c r="AC11" s="5"/>
      <c r="AD11" s="5"/>
      <c r="AE11" s="5"/>
      <c r="AF11" s="5"/>
      <c r="AG11" s="5"/>
      <c r="AH11" s="2"/>
      <c r="AI11" s="5"/>
      <c r="AJ11" s="5"/>
      <c r="AK11" s="5"/>
      <c r="AL11" s="5"/>
      <c r="AM11" s="5"/>
      <c r="AN11" s="2"/>
      <c r="AO11" s="5"/>
      <c r="AP11" s="5"/>
      <c r="AQ11" s="2"/>
      <c r="AR11" s="5"/>
      <c r="AS11" s="5"/>
      <c r="AT11" s="14"/>
      <c r="AU11" s="5"/>
      <c r="AV11" s="5"/>
      <c r="AW11" s="5"/>
      <c r="AX11" s="5"/>
      <c r="AY11" s="5"/>
      <c r="AZ11" s="43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135"/>
      <c r="BS11" s="28"/>
      <c r="BT11" s="28"/>
      <c r="BU11" s="20"/>
      <c r="BV11" s="27"/>
    </row>
    <row r="12" spans="1:99" ht="43.9" customHeight="1" x14ac:dyDescent="0.25">
      <c r="A12" s="97"/>
      <c r="B12" s="138"/>
      <c r="C12" s="134"/>
      <c r="D12" s="134"/>
      <c r="E12" s="134"/>
      <c r="F12" s="134"/>
      <c r="G12" s="134"/>
      <c r="H12" s="134"/>
      <c r="I12" s="134"/>
      <c r="J12" s="4"/>
      <c r="K12" s="31"/>
      <c r="L12" s="31"/>
      <c r="M12" s="2"/>
      <c r="N12" s="31"/>
      <c r="O12" s="31"/>
      <c r="P12" s="38"/>
      <c r="Q12" s="38"/>
      <c r="R12" s="38"/>
      <c r="S12" s="14"/>
      <c r="T12" s="38"/>
      <c r="U12" s="38"/>
      <c r="V12" s="14"/>
      <c r="W12" s="5"/>
      <c r="X12" s="5"/>
      <c r="Y12" s="14"/>
      <c r="Z12" s="5"/>
      <c r="AA12" s="5"/>
      <c r="AB12" s="5"/>
      <c r="AC12" s="5"/>
      <c r="AD12" s="5"/>
      <c r="AE12" s="5"/>
      <c r="AF12" s="5"/>
      <c r="AG12" s="5"/>
      <c r="AH12" s="2"/>
      <c r="AI12" s="5"/>
      <c r="AJ12" s="5"/>
      <c r="AK12" s="5"/>
      <c r="AL12" s="5"/>
      <c r="AM12" s="5"/>
      <c r="AN12" s="2"/>
      <c r="AO12" s="5"/>
      <c r="AP12" s="5"/>
      <c r="AQ12" s="2"/>
      <c r="AR12" s="5"/>
      <c r="AS12" s="5"/>
      <c r="AT12" s="14"/>
      <c r="AU12" s="5"/>
      <c r="AV12" s="5"/>
      <c r="AW12" s="5"/>
      <c r="AX12" s="5"/>
      <c r="AY12" s="5"/>
      <c r="AZ12" s="43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135"/>
      <c r="BS12" s="28"/>
      <c r="BT12" s="28"/>
      <c r="BU12" s="20"/>
      <c r="BV12" s="27"/>
    </row>
    <row r="13" spans="1:99" ht="43.9" customHeight="1" x14ac:dyDescent="0.25">
      <c r="A13" s="97"/>
      <c r="B13" s="138"/>
      <c r="C13" s="134"/>
      <c r="D13" s="134"/>
      <c r="E13" s="134"/>
      <c r="F13" s="134"/>
      <c r="G13" s="134"/>
      <c r="H13" s="134"/>
      <c r="I13" s="134"/>
      <c r="J13" s="4"/>
      <c r="K13" s="31"/>
      <c r="L13" s="31"/>
      <c r="M13" s="2"/>
      <c r="N13" s="31"/>
      <c r="O13" s="31"/>
      <c r="P13" s="38"/>
      <c r="Q13" s="38"/>
      <c r="R13" s="38"/>
      <c r="S13" s="14"/>
      <c r="T13" s="38"/>
      <c r="U13" s="38"/>
      <c r="V13" s="14"/>
      <c r="W13" s="5"/>
      <c r="X13" s="5"/>
      <c r="Y13" s="14"/>
      <c r="Z13" s="5"/>
      <c r="AA13" s="5"/>
      <c r="AB13" s="5"/>
      <c r="AC13" s="5"/>
      <c r="AD13" s="5"/>
      <c r="AE13" s="5"/>
      <c r="AF13" s="5"/>
      <c r="AG13" s="5"/>
      <c r="AH13" s="2"/>
      <c r="AI13" s="5"/>
      <c r="AJ13" s="5"/>
      <c r="AK13" s="5"/>
      <c r="AL13" s="5"/>
      <c r="AM13" s="5"/>
      <c r="AN13" s="2"/>
      <c r="AO13" s="5"/>
      <c r="AP13" s="5"/>
      <c r="AQ13" s="2"/>
      <c r="AR13" s="5"/>
      <c r="AS13" s="5"/>
      <c r="AT13" s="14"/>
      <c r="AU13" s="5"/>
      <c r="AV13" s="5"/>
      <c r="AW13" s="5"/>
      <c r="AX13" s="5"/>
      <c r="AY13" s="5"/>
      <c r="AZ13" s="43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135"/>
      <c r="BS13" s="28"/>
      <c r="BT13" s="28"/>
      <c r="BU13" s="20"/>
      <c r="BV13" s="27"/>
    </row>
    <row r="14" spans="1:99" ht="43.9" customHeight="1" x14ac:dyDescent="0.25">
      <c r="A14" s="97"/>
      <c r="B14" s="138"/>
      <c r="C14" s="134"/>
      <c r="D14" s="134"/>
      <c r="E14" s="134"/>
      <c r="F14" s="134"/>
      <c r="G14" s="134"/>
      <c r="H14" s="134"/>
      <c r="I14" s="134"/>
      <c r="J14" s="4"/>
      <c r="K14" s="31"/>
      <c r="L14" s="31"/>
      <c r="M14" s="2"/>
      <c r="N14" s="31"/>
      <c r="O14" s="31"/>
      <c r="P14" s="38"/>
      <c r="Q14" s="38"/>
      <c r="R14" s="38"/>
      <c r="S14" s="14"/>
      <c r="T14" s="38"/>
      <c r="U14" s="38"/>
      <c r="V14" s="14"/>
      <c r="W14" s="5"/>
      <c r="X14" s="5"/>
      <c r="Y14" s="14"/>
      <c r="Z14" s="5"/>
      <c r="AA14" s="5"/>
      <c r="AB14" s="5"/>
      <c r="AC14" s="5"/>
      <c r="AD14" s="5"/>
      <c r="AE14" s="5"/>
      <c r="AF14" s="5"/>
      <c r="AG14" s="5"/>
      <c r="AH14" s="2"/>
      <c r="AI14" s="5"/>
      <c r="AJ14" s="5"/>
      <c r="AK14" s="5"/>
      <c r="AL14" s="5"/>
      <c r="AM14" s="5"/>
      <c r="AN14" s="2"/>
      <c r="AO14" s="5"/>
      <c r="AP14" s="5"/>
      <c r="AQ14" s="2"/>
      <c r="AR14" s="5"/>
      <c r="AS14" s="5"/>
      <c r="AT14" s="14"/>
      <c r="AU14" s="5"/>
      <c r="AV14" s="5"/>
      <c r="AW14" s="5"/>
      <c r="AX14" s="5"/>
      <c r="AY14" s="5"/>
      <c r="AZ14" s="43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135"/>
      <c r="BS14" s="28"/>
      <c r="BT14" s="28"/>
      <c r="BU14" s="20"/>
      <c r="BV14" s="27"/>
    </row>
    <row r="15" spans="1:99" ht="43.9" customHeight="1" x14ac:dyDescent="0.25">
      <c r="A15" s="97"/>
      <c r="B15" s="138"/>
      <c r="C15" s="134"/>
      <c r="D15" s="134"/>
      <c r="E15" s="134"/>
      <c r="F15" s="134"/>
      <c r="G15" s="134"/>
      <c r="H15" s="134"/>
      <c r="I15" s="134"/>
      <c r="J15" s="4"/>
      <c r="K15" s="31"/>
      <c r="L15" s="31"/>
      <c r="M15" s="2"/>
      <c r="N15" s="31"/>
      <c r="O15" s="31"/>
      <c r="P15" s="38"/>
      <c r="Q15" s="38"/>
      <c r="R15" s="38"/>
      <c r="S15" s="14"/>
      <c r="T15" s="38"/>
      <c r="U15" s="38"/>
      <c r="V15" s="14"/>
      <c r="W15" s="5"/>
      <c r="X15" s="5"/>
      <c r="Y15" s="14"/>
      <c r="Z15" s="5"/>
      <c r="AA15" s="5"/>
      <c r="AB15" s="5"/>
      <c r="AC15" s="5"/>
      <c r="AD15" s="5"/>
      <c r="AE15" s="5"/>
      <c r="AF15" s="5"/>
      <c r="AG15" s="5"/>
      <c r="AH15" s="2"/>
      <c r="AI15" s="5"/>
      <c r="AJ15" s="5"/>
      <c r="AK15" s="5"/>
      <c r="AL15" s="5"/>
      <c r="AM15" s="5"/>
      <c r="AN15" s="2"/>
      <c r="AO15" s="5"/>
      <c r="AP15" s="5"/>
      <c r="AQ15" s="2"/>
      <c r="AR15" s="5"/>
      <c r="AS15" s="5"/>
      <c r="AT15" s="14"/>
      <c r="AU15" s="5"/>
      <c r="AV15" s="5"/>
      <c r="AW15" s="5"/>
      <c r="AX15" s="5"/>
      <c r="AY15" s="5"/>
      <c r="AZ15" s="43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135"/>
      <c r="BS15" s="28"/>
      <c r="BT15" s="28"/>
      <c r="BU15" s="20"/>
      <c r="BV15" s="27"/>
    </row>
    <row r="16" spans="1:99" ht="43.9" customHeight="1" x14ac:dyDescent="0.25">
      <c r="A16" s="97"/>
      <c r="B16" s="138"/>
      <c r="C16" s="134"/>
      <c r="D16" s="134"/>
      <c r="E16" s="134"/>
      <c r="F16" s="134"/>
      <c r="G16" s="134"/>
      <c r="H16" s="134"/>
      <c r="I16" s="134"/>
      <c r="J16" s="4"/>
      <c r="K16" s="31"/>
      <c r="L16" s="31"/>
      <c r="M16" s="2"/>
      <c r="N16" s="31"/>
      <c r="O16" s="31"/>
      <c r="P16" s="38"/>
      <c r="Q16" s="38"/>
      <c r="R16" s="38"/>
      <c r="S16" s="14"/>
      <c r="T16" s="38"/>
      <c r="U16" s="38"/>
      <c r="V16" s="14"/>
      <c r="W16" s="5"/>
      <c r="X16" s="5"/>
      <c r="Y16" s="14"/>
      <c r="Z16" s="5"/>
      <c r="AA16" s="5"/>
      <c r="AB16" s="5"/>
      <c r="AC16" s="5"/>
      <c r="AD16" s="5"/>
      <c r="AE16" s="5"/>
      <c r="AF16" s="5"/>
      <c r="AG16" s="5"/>
      <c r="AH16" s="2"/>
      <c r="AI16" s="5"/>
      <c r="AJ16" s="5"/>
      <c r="AK16" s="5"/>
      <c r="AL16" s="5"/>
      <c r="AM16" s="5"/>
      <c r="AN16" s="2"/>
      <c r="AO16" s="5"/>
      <c r="AP16" s="5"/>
      <c r="AQ16" s="2"/>
      <c r="AR16" s="5"/>
      <c r="AS16" s="5"/>
      <c r="AT16" s="14"/>
      <c r="AU16" s="5"/>
      <c r="AV16" s="5"/>
      <c r="AW16" s="5"/>
      <c r="AX16" s="5"/>
      <c r="AY16" s="5"/>
      <c r="AZ16" s="43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135"/>
      <c r="BS16" s="28"/>
      <c r="BT16" s="28"/>
      <c r="BU16" s="20"/>
      <c r="BV16" s="27"/>
    </row>
    <row r="17" spans="1:74" ht="43.9" customHeight="1" x14ac:dyDescent="0.25">
      <c r="A17" s="97"/>
      <c r="B17" s="138"/>
      <c r="C17" s="134"/>
      <c r="D17" s="134"/>
      <c r="E17" s="134"/>
      <c r="F17" s="134"/>
      <c r="G17" s="134"/>
      <c r="H17" s="134"/>
      <c r="I17" s="134"/>
      <c r="J17" s="4"/>
      <c r="K17" s="31"/>
      <c r="L17" s="31"/>
      <c r="M17" s="2"/>
      <c r="N17" s="31"/>
      <c r="O17" s="31"/>
      <c r="P17" s="38"/>
      <c r="Q17" s="38"/>
      <c r="R17" s="38"/>
      <c r="S17" s="14"/>
      <c r="T17" s="38"/>
      <c r="U17" s="38"/>
      <c r="V17" s="14"/>
      <c r="W17" s="5"/>
      <c r="X17" s="5"/>
      <c r="Y17" s="14"/>
      <c r="Z17" s="5"/>
      <c r="AA17" s="5"/>
      <c r="AB17" s="5"/>
      <c r="AC17" s="5"/>
      <c r="AD17" s="5"/>
      <c r="AE17" s="5"/>
      <c r="AF17" s="5"/>
      <c r="AG17" s="5"/>
      <c r="AH17" s="2"/>
      <c r="AI17" s="5"/>
      <c r="AJ17" s="5"/>
      <c r="AK17" s="5"/>
      <c r="AL17" s="5"/>
      <c r="AM17" s="5"/>
      <c r="AN17" s="2"/>
      <c r="AO17" s="5"/>
      <c r="AP17" s="5"/>
      <c r="AQ17" s="2"/>
      <c r="AR17" s="5"/>
      <c r="AS17" s="5"/>
      <c r="AT17" s="14"/>
      <c r="AU17" s="5"/>
      <c r="AV17" s="5"/>
      <c r="AW17" s="5"/>
      <c r="AX17" s="5"/>
      <c r="AY17" s="5"/>
      <c r="AZ17" s="43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135"/>
      <c r="BS17" s="28"/>
      <c r="BT17" s="28"/>
      <c r="BU17" s="20"/>
      <c r="BV17" s="27"/>
    </row>
    <row r="18" spans="1:74" ht="43.9" customHeight="1" x14ac:dyDescent="0.25">
      <c r="A18" s="97"/>
      <c r="B18" s="138"/>
      <c r="C18" s="134"/>
      <c r="D18" s="134"/>
      <c r="E18" s="134"/>
      <c r="F18" s="134"/>
      <c r="G18" s="134"/>
      <c r="H18" s="134"/>
      <c r="I18" s="134"/>
      <c r="J18" s="4"/>
      <c r="K18" s="31"/>
      <c r="L18" s="31"/>
      <c r="M18" s="2"/>
      <c r="N18" s="31"/>
      <c r="O18" s="31"/>
      <c r="P18" s="38"/>
      <c r="Q18" s="38"/>
      <c r="R18" s="38"/>
      <c r="S18" s="14"/>
      <c r="T18" s="38"/>
      <c r="U18" s="38"/>
      <c r="V18" s="14"/>
      <c r="W18" s="5"/>
      <c r="X18" s="5"/>
      <c r="Y18" s="14"/>
      <c r="Z18" s="5"/>
      <c r="AA18" s="5"/>
      <c r="AB18" s="5"/>
      <c r="AC18" s="5"/>
      <c r="AD18" s="5"/>
      <c r="AE18" s="5"/>
      <c r="AF18" s="5"/>
      <c r="AG18" s="5"/>
      <c r="AH18" s="2"/>
      <c r="AI18" s="5"/>
      <c r="AJ18" s="5"/>
      <c r="AK18" s="5"/>
      <c r="AL18" s="5"/>
      <c r="AM18" s="5"/>
      <c r="AN18" s="2"/>
      <c r="AO18" s="5"/>
      <c r="AP18" s="5"/>
      <c r="AQ18" s="2"/>
      <c r="AR18" s="5"/>
      <c r="AS18" s="5"/>
      <c r="AT18" s="14"/>
      <c r="AU18" s="5"/>
      <c r="AV18" s="5"/>
      <c r="AW18" s="5"/>
      <c r="AX18" s="5"/>
      <c r="AY18" s="5"/>
      <c r="AZ18" s="43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135"/>
      <c r="BS18" s="28"/>
      <c r="BT18" s="28"/>
      <c r="BU18" s="20"/>
      <c r="BV18" s="27"/>
    </row>
    <row r="19" spans="1:74" ht="43.9" customHeight="1" x14ac:dyDescent="0.25">
      <c r="A19" s="97"/>
      <c r="B19" s="138"/>
      <c r="C19" s="134"/>
      <c r="D19" s="134"/>
      <c r="E19" s="134"/>
      <c r="F19" s="134"/>
      <c r="G19" s="134"/>
      <c r="H19" s="134"/>
      <c r="I19" s="134"/>
      <c r="J19" s="4"/>
      <c r="K19" s="31"/>
      <c r="L19" s="31"/>
      <c r="M19" s="2"/>
      <c r="N19" s="31"/>
      <c r="O19" s="31"/>
      <c r="P19" s="38"/>
      <c r="Q19" s="38"/>
      <c r="R19" s="38"/>
      <c r="S19" s="14"/>
      <c r="T19" s="38"/>
      <c r="U19" s="38"/>
      <c r="V19" s="14"/>
      <c r="W19" s="5"/>
      <c r="X19" s="5"/>
      <c r="Y19" s="14"/>
      <c r="Z19" s="5"/>
      <c r="AA19" s="5"/>
      <c r="AB19" s="5"/>
      <c r="AC19" s="5"/>
      <c r="AD19" s="5"/>
      <c r="AE19" s="5"/>
      <c r="AF19" s="5"/>
      <c r="AG19" s="5"/>
      <c r="AH19" s="2"/>
      <c r="AI19" s="5"/>
      <c r="AJ19" s="5"/>
      <c r="AK19" s="5"/>
      <c r="AL19" s="5"/>
      <c r="AM19" s="5"/>
      <c r="AN19" s="2"/>
      <c r="AO19" s="5"/>
      <c r="AP19" s="5"/>
      <c r="AQ19" s="2"/>
      <c r="AR19" s="5"/>
      <c r="AS19" s="5"/>
      <c r="AT19" s="14"/>
      <c r="AU19" s="5"/>
      <c r="AV19" s="5"/>
      <c r="AW19" s="5"/>
      <c r="AX19" s="5"/>
      <c r="AY19" s="5"/>
      <c r="AZ19" s="43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135"/>
      <c r="BS19" s="28"/>
      <c r="BT19" s="28"/>
      <c r="BU19" s="20"/>
      <c r="BV19" s="27"/>
    </row>
    <row r="20" spans="1:74" ht="43.9" customHeight="1" x14ac:dyDescent="0.25">
      <c r="A20" s="97"/>
      <c r="B20" s="138"/>
      <c r="C20" s="134"/>
      <c r="D20" s="134"/>
      <c r="E20" s="134"/>
      <c r="F20" s="134"/>
      <c r="G20" s="134"/>
      <c r="H20" s="134"/>
      <c r="I20" s="134"/>
      <c r="J20" s="4"/>
      <c r="K20" s="31"/>
      <c r="L20" s="31"/>
      <c r="M20" s="2"/>
      <c r="N20" s="31"/>
      <c r="O20" s="31"/>
      <c r="P20" s="38"/>
      <c r="Q20" s="38"/>
      <c r="R20" s="38"/>
      <c r="S20" s="14"/>
      <c r="T20" s="38"/>
      <c r="U20" s="38"/>
      <c r="V20" s="14"/>
      <c r="W20" s="5"/>
      <c r="X20" s="5"/>
      <c r="Y20" s="14"/>
      <c r="Z20" s="5"/>
      <c r="AA20" s="5"/>
      <c r="AB20" s="5"/>
      <c r="AC20" s="5"/>
      <c r="AD20" s="5"/>
      <c r="AE20" s="5"/>
      <c r="AF20" s="5"/>
      <c r="AG20" s="5"/>
      <c r="AH20" s="2"/>
      <c r="AI20" s="5"/>
      <c r="AJ20" s="5"/>
      <c r="AK20" s="5"/>
      <c r="AL20" s="5"/>
      <c r="AM20" s="5"/>
      <c r="AN20" s="2"/>
      <c r="AO20" s="5"/>
      <c r="AP20" s="5"/>
      <c r="AQ20" s="2"/>
      <c r="AR20" s="5"/>
      <c r="AS20" s="5"/>
      <c r="AT20" s="14"/>
      <c r="AU20" s="5"/>
      <c r="AV20" s="5"/>
      <c r="AW20" s="5"/>
      <c r="AX20" s="5"/>
      <c r="AY20" s="5"/>
      <c r="AZ20" s="43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135"/>
      <c r="BS20" s="28"/>
      <c r="BT20" s="28"/>
      <c r="BU20" s="20"/>
      <c r="BV20" s="27"/>
    </row>
    <row r="21" spans="1:74" ht="43.9" customHeight="1" x14ac:dyDescent="0.25">
      <c r="A21" s="97"/>
      <c r="B21" s="138"/>
      <c r="C21" s="134"/>
      <c r="D21" s="134"/>
      <c r="E21" s="134"/>
      <c r="F21" s="134"/>
      <c r="G21" s="134"/>
      <c r="H21" s="134"/>
      <c r="I21" s="134"/>
      <c r="J21" s="4"/>
      <c r="K21" s="31"/>
      <c r="L21" s="31"/>
      <c r="M21" s="2"/>
      <c r="N21" s="31"/>
      <c r="O21" s="31"/>
      <c r="P21" s="38"/>
      <c r="Q21" s="38"/>
      <c r="R21" s="38"/>
      <c r="S21" s="14"/>
      <c r="T21" s="38"/>
      <c r="U21" s="38"/>
      <c r="V21" s="14"/>
      <c r="W21" s="5"/>
      <c r="X21" s="5"/>
      <c r="Y21" s="14"/>
      <c r="Z21" s="5"/>
      <c r="AA21" s="5"/>
      <c r="AB21" s="5"/>
      <c r="AC21" s="5"/>
      <c r="AD21" s="5"/>
      <c r="AE21" s="5"/>
      <c r="AF21" s="5"/>
      <c r="AG21" s="5"/>
      <c r="AH21" s="2"/>
      <c r="AI21" s="5"/>
      <c r="AJ21" s="5"/>
      <c r="AK21" s="5"/>
      <c r="AL21" s="5"/>
      <c r="AM21" s="5"/>
      <c r="AN21" s="2"/>
      <c r="AO21" s="5"/>
      <c r="AP21" s="5"/>
      <c r="AQ21" s="2"/>
      <c r="AR21" s="5"/>
      <c r="AS21" s="5"/>
      <c r="AT21" s="14"/>
      <c r="AU21" s="5"/>
      <c r="AV21" s="5"/>
      <c r="AW21" s="5"/>
      <c r="AX21" s="5"/>
      <c r="AY21" s="5"/>
      <c r="AZ21" s="43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135"/>
      <c r="BS21" s="28"/>
      <c r="BT21" s="28"/>
      <c r="BU21" s="20"/>
      <c r="BV21" s="27"/>
    </row>
    <row r="22" spans="1:74" ht="43.9" customHeight="1" x14ac:dyDescent="0.25">
      <c r="A22" s="97"/>
      <c r="B22" s="138"/>
      <c r="C22" s="134"/>
      <c r="D22" s="134"/>
      <c r="E22" s="134"/>
      <c r="F22" s="134"/>
      <c r="G22" s="134"/>
      <c r="H22" s="134"/>
      <c r="I22" s="134"/>
      <c r="J22" s="4"/>
      <c r="K22" s="31"/>
      <c r="L22" s="31"/>
      <c r="M22" s="2"/>
      <c r="N22" s="31"/>
      <c r="O22" s="31"/>
      <c r="P22" s="38"/>
      <c r="Q22" s="38"/>
      <c r="R22" s="38"/>
      <c r="S22" s="14"/>
      <c r="T22" s="38"/>
      <c r="U22" s="38"/>
      <c r="V22" s="14"/>
      <c r="W22" s="5"/>
      <c r="X22" s="5"/>
      <c r="Y22" s="14"/>
      <c r="Z22" s="5"/>
      <c r="AA22" s="5"/>
      <c r="AB22" s="5"/>
      <c r="AC22" s="5"/>
      <c r="AD22" s="5"/>
      <c r="AE22" s="5"/>
      <c r="AF22" s="5"/>
      <c r="AG22" s="5"/>
      <c r="AH22" s="2"/>
      <c r="AI22" s="5"/>
      <c r="AJ22" s="5"/>
      <c r="AK22" s="5"/>
      <c r="AL22" s="5"/>
      <c r="AM22" s="5"/>
      <c r="AN22" s="2"/>
      <c r="AO22" s="5"/>
      <c r="AP22" s="5"/>
      <c r="AQ22" s="2"/>
      <c r="AR22" s="5"/>
      <c r="AS22" s="5"/>
      <c r="AT22" s="14"/>
      <c r="AU22" s="5"/>
      <c r="AV22" s="5"/>
      <c r="AW22" s="5"/>
      <c r="AX22" s="5"/>
      <c r="AY22" s="5"/>
      <c r="AZ22" s="43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135"/>
      <c r="BS22" s="28"/>
      <c r="BT22" s="28"/>
      <c r="BU22" s="20"/>
      <c r="BV22" s="27"/>
    </row>
    <row r="23" spans="1:74" ht="43.9" customHeight="1" x14ac:dyDescent="0.25">
      <c r="A23" s="97"/>
      <c r="B23" s="138"/>
      <c r="C23" s="134"/>
      <c r="D23" s="134"/>
      <c r="E23" s="134"/>
      <c r="F23" s="134"/>
      <c r="G23" s="134"/>
      <c r="H23" s="134"/>
      <c r="I23" s="134"/>
      <c r="J23" s="4"/>
      <c r="K23" s="31"/>
      <c r="L23" s="31"/>
      <c r="M23" s="2"/>
      <c r="N23" s="31"/>
      <c r="O23" s="31"/>
      <c r="P23" s="38"/>
      <c r="Q23" s="38"/>
      <c r="R23" s="38"/>
      <c r="S23" s="14"/>
      <c r="T23" s="38"/>
      <c r="U23" s="38"/>
      <c r="V23" s="14"/>
      <c r="W23" s="5"/>
      <c r="X23" s="5"/>
      <c r="Y23" s="14"/>
      <c r="Z23" s="5"/>
      <c r="AA23" s="5"/>
      <c r="AB23" s="5"/>
      <c r="AC23" s="5"/>
      <c r="AD23" s="5"/>
      <c r="AE23" s="5"/>
      <c r="AF23" s="5"/>
      <c r="AG23" s="5"/>
      <c r="AH23" s="2"/>
      <c r="AI23" s="5"/>
      <c r="AJ23" s="5"/>
      <c r="AK23" s="5"/>
      <c r="AL23" s="5"/>
      <c r="AM23" s="5"/>
      <c r="AN23" s="2"/>
      <c r="AO23" s="5"/>
      <c r="AP23" s="5"/>
      <c r="AQ23" s="2"/>
      <c r="AR23" s="5"/>
      <c r="AS23" s="5"/>
      <c r="AT23" s="14"/>
      <c r="AU23" s="5"/>
      <c r="AV23" s="5"/>
      <c r="AW23" s="5"/>
      <c r="AX23" s="5"/>
      <c r="AY23" s="5"/>
      <c r="AZ23" s="43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135"/>
      <c r="BS23" s="28"/>
      <c r="BT23" s="28"/>
      <c r="BU23" s="20"/>
      <c r="BV23" s="27"/>
    </row>
    <row r="24" spans="1:74" ht="43.9" customHeight="1" x14ac:dyDescent="0.25">
      <c r="A24" s="97"/>
      <c r="B24" s="138"/>
      <c r="C24" s="134"/>
      <c r="D24" s="134"/>
      <c r="E24" s="134"/>
      <c r="F24" s="134"/>
      <c r="G24" s="134"/>
      <c r="H24" s="134"/>
      <c r="I24" s="134"/>
      <c r="J24" s="4"/>
      <c r="K24" s="31"/>
      <c r="L24" s="31"/>
      <c r="M24" s="2"/>
      <c r="N24" s="31"/>
      <c r="O24" s="31"/>
      <c r="P24" s="38"/>
      <c r="Q24" s="38"/>
      <c r="R24" s="38"/>
      <c r="S24" s="14"/>
      <c r="T24" s="38"/>
      <c r="U24" s="38"/>
      <c r="V24" s="14"/>
      <c r="W24" s="5"/>
      <c r="X24" s="5"/>
      <c r="Y24" s="14"/>
      <c r="Z24" s="5"/>
      <c r="AA24" s="5"/>
      <c r="AB24" s="5"/>
      <c r="AC24" s="5"/>
      <c r="AD24" s="5"/>
      <c r="AE24" s="5"/>
      <c r="AF24" s="5"/>
      <c r="AG24" s="5"/>
      <c r="AH24" s="2"/>
      <c r="AI24" s="5"/>
      <c r="AJ24" s="5"/>
      <c r="AK24" s="5"/>
      <c r="AL24" s="5"/>
      <c r="AM24" s="5"/>
      <c r="AN24" s="2"/>
      <c r="AO24" s="5"/>
      <c r="AP24" s="5"/>
      <c r="AQ24" s="2"/>
      <c r="AR24" s="5"/>
      <c r="AS24" s="5"/>
      <c r="AT24" s="14"/>
      <c r="AU24" s="5"/>
      <c r="AV24" s="5"/>
      <c r="AW24" s="5"/>
      <c r="AX24" s="5"/>
      <c r="AY24" s="5"/>
      <c r="AZ24" s="43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135"/>
      <c r="BS24" s="28"/>
      <c r="BT24" s="28"/>
      <c r="BU24" s="20"/>
      <c r="BV24" s="27"/>
    </row>
    <row r="25" spans="1:74" ht="77.45" customHeight="1" x14ac:dyDescent="0.25">
      <c r="A25" s="63">
        <f>ROW()-3</f>
        <v>22</v>
      </c>
      <c r="B25" s="300" t="s">
        <v>227</v>
      </c>
      <c r="C25" s="139" t="s">
        <v>228</v>
      </c>
      <c r="D25" s="139">
        <v>9443300262</v>
      </c>
      <c r="E25" s="139" t="s">
        <v>229</v>
      </c>
      <c r="F25" s="139"/>
      <c r="G25" s="139" t="s">
        <v>230</v>
      </c>
      <c r="H25" s="139" t="s">
        <v>15</v>
      </c>
      <c r="I25" s="139">
        <v>600</v>
      </c>
      <c r="J25" s="198"/>
      <c r="K25" s="198"/>
      <c r="L25" s="199"/>
      <c r="M25" s="198"/>
      <c r="N25" s="198"/>
      <c r="O25" s="199"/>
      <c r="P25" s="198"/>
      <c r="Q25" s="198"/>
      <c r="R25" s="198"/>
      <c r="S25" s="198" t="s">
        <v>31</v>
      </c>
      <c r="T25" s="198"/>
      <c r="U25" s="198"/>
      <c r="V25" s="198" t="s">
        <v>31</v>
      </c>
      <c r="W25" s="198"/>
      <c r="X25" s="200"/>
      <c r="Y25" s="198"/>
      <c r="Z25" s="198"/>
      <c r="AA25" s="200"/>
      <c r="AB25" s="198"/>
      <c r="AC25" s="198"/>
      <c r="AD25" s="200"/>
      <c r="AE25" s="18"/>
      <c r="AF25" s="17"/>
      <c r="AG25" s="17"/>
      <c r="AH25" s="18"/>
      <c r="AI25" s="17"/>
      <c r="AJ25" s="17"/>
      <c r="AK25" s="18"/>
      <c r="AL25" s="18"/>
      <c r="AM25" s="17"/>
      <c r="AN25" s="3"/>
      <c r="AO25" s="17"/>
      <c r="AP25" s="17"/>
      <c r="AQ25" s="3"/>
      <c r="AR25" s="17"/>
      <c r="AS25" s="17"/>
      <c r="AT25" s="19"/>
      <c r="AU25" s="19"/>
      <c r="AV25" s="17"/>
      <c r="AW25" s="3"/>
      <c r="AX25" s="19"/>
      <c r="AY25" s="17"/>
      <c r="AZ25" s="3"/>
      <c r="BA25" s="17"/>
      <c r="BB25" s="17"/>
      <c r="BC25" s="18"/>
      <c r="BD25" s="17"/>
      <c r="BE25" s="17"/>
      <c r="BF25" s="3"/>
      <c r="BG25" s="3"/>
      <c r="BH25" s="17"/>
      <c r="BI25" s="17"/>
      <c r="BJ25" s="3"/>
      <c r="BK25" s="17"/>
      <c r="BL25" s="18"/>
      <c r="BM25" s="17"/>
      <c r="BN25" s="17"/>
      <c r="BO25" s="18"/>
      <c r="BP25" s="17"/>
      <c r="BQ25" s="17"/>
      <c r="BR25" s="48">
        <f>COUNTA(J25:BQ25)</f>
        <v>2</v>
      </c>
      <c r="BS25" s="52" t="s">
        <v>753</v>
      </c>
      <c r="BT25" s="52" t="s">
        <v>725</v>
      </c>
      <c r="BU25" s="24" t="s">
        <v>754</v>
      </c>
      <c r="BV25" s="141" t="str">
        <f>IF(BR25&lt;=0,"0",IF(BR25=1,"1",IF(BR25=2,"2",IF(BR25=3,"3",IF(BR25&gt;=4,"4")))))</f>
        <v>2</v>
      </c>
    </row>
    <row r="26" spans="1:74" ht="77.45" customHeight="1" x14ac:dyDescent="0.25">
      <c r="A26" s="63">
        <f t="shared" si="0"/>
        <v>23</v>
      </c>
      <c r="B26" s="301" t="s">
        <v>267</v>
      </c>
      <c r="C26" s="196" t="s">
        <v>268</v>
      </c>
      <c r="D26" s="196">
        <v>8630230691</v>
      </c>
      <c r="E26" s="196" t="s">
        <v>269</v>
      </c>
      <c r="F26" s="196"/>
      <c r="G26" s="196" t="s">
        <v>230</v>
      </c>
      <c r="H26" s="196" t="s">
        <v>15</v>
      </c>
      <c r="I26" s="196">
        <v>900</v>
      </c>
      <c r="J26" s="201"/>
      <c r="K26" s="202"/>
      <c r="L26" s="202"/>
      <c r="M26" s="202"/>
      <c r="N26" s="202"/>
      <c r="O26" s="202"/>
      <c r="P26" s="203"/>
      <c r="Q26" s="203"/>
      <c r="R26" s="203"/>
      <c r="S26" s="204" t="s">
        <v>31</v>
      </c>
      <c r="T26" s="203"/>
      <c r="U26" s="203"/>
      <c r="V26" s="203"/>
      <c r="W26" s="203"/>
      <c r="X26" s="203"/>
      <c r="Y26" s="203"/>
      <c r="Z26" s="203"/>
      <c r="AA26" s="203"/>
      <c r="AB26" s="204"/>
      <c r="AC26" s="203"/>
      <c r="AD26" s="203"/>
      <c r="AE26" s="14"/>
      <c r="AF26" s="5"/>
      <c r="AG26" s="5"/>
      <c r="AH26" s="2"/>
      <c r="AI26" s="5"/>
      <c r="AJ26" s="5"/>
      <c r="AK26" s="5"/>
      <c r="AL26" s="5"/>
      <c r="AM26" s="5"/>
      <c r="AN26" s="2"/>
      <c r="AO26" s="5"/>
      <c r="AP26" s="5"/>
      <c r="AQ26" s="2"/>
      <c r="AR26" s="5"/>
      <c r="AS26" s="5"/>
      <c r="AT26" s="14"/>
      <c r="AU26" s="5"/>
      <c r="AV26" s="5"/>
      <c r="AW26" s="14"/>
      <c r="AX26" s="5"/>
      <c r="AY26" s="5"/>
      <c r="AZ26" s="43"/>
      <c r="BA26" s="5"/>
      <c r="BB26" s="5"/>
      <c r="BC26" s="43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135">
        <f>COUNTA(J26:BQ26)</f>
        <v>1</v>
      </c>
      <c r="BS26" s="28"/>
      <c r="BT26" s="28" t="s">
        <v>727</v>
      </c>
      <c r="BU26" s="20" t="s">
        <v>726</v>
      </c>
      <c r="BV26" s="27" t="str">
        <f>IF(BR26&lt;=0,"0",IF(BR26=1,"1",IF(BR26=2,"2",IF(BR26=3,"3",IF(BR26&gt;=4,"4")))))</f>
        <v>1</v>
      </c>
    </row>
    <row r="27" spans="1:74" ht="77.45" customHeight="1" x14ac:dyDescent="0.25">
      <c r="A27" s="63">
        <f t="shared" si="0"/>
        <v>24</v>
      </c>
      <c r="B27" s="301" t="s">
        <v>801</v>
      </c>
      <c r="C27" s="196" t="s">
        <v>802</v>
      </c>
      <c r="D27" s="38"/>
      <c r="E27" s="134">
        <v>650</v>
      </c>
      <c r="F27" s="134"/>
      <c r="G27" s="134" t="s">
        <v>230</v>
      </c>
      <c r="H27" s="134" t="s">
        <v>15</v>
      </c>
      <c r="I27" s="134">
        <v>650</v>
      </c>
      <c r="J27" s="201"/>
      <c r="K27" s="202"/>
      <c r="L27" s="202"/>
      <c r="M27" s="202"/>
      <c r="N27" s="202"/>
      <c r="O27" s="202"/>
      <c r="P27" s="203"/>
      <c r="Q27" s="203"/>
      <c r="R27" s="203"/>
      <c r="S27" s="204"/>
      <c r="T27" s="203"/>
      <c r="U27" s="203"/>
      <c r="V27" s="203"/>
      <c r="W27" s="203"/>
      <c r="X27" s="203"/>
      <c r="Y27" s="204" t="s">
        <v>31</v>
      </c>
      <c r="Z27" s="203"/>
      <c r="AA27" s="203"/>
      <c r="AB27" s="204"/>
      <c r="AC27" s="203"/>
      <c r="AD27" s="203"/>
      <c r="AE27" s="14"/>
      <c r="AF27" s="5"/>
      <c r="AG27" s="5"/>
      <c r="AH27" s="2"/>
      <c r="AI27" s="5"/>
      <c r="AJ27" s="5"/>
      <c r="AK27" s="5"/>
      <c r="AL27" s="5"/>
      <c r="AM27" s="5"/>
      <c r="AN27" s="2"/>
      <c r="AO27" s="5"/>
      <c r="AP27" s="5"/>
      <c r="AQ27" s="2"/>
      <c r="AR27" s="5"/>
      <c r="AS27" s="5"/>
      <c r="AT27" s="14"/>
      <c r="AU27" s="5"/>
      <c r="AV27" s="5"/>
      <c r="AW27" s="14"/>
      <c r="AX27" s="5"/>
      <c r="AY27" s="5"/>
      <c r="AZ27" s="43"/>
      <c r="BA27" s="5"/>
      <c r="BB27" s="5"/>
      <c r="BC27" s="43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135">
        <f>COUNTA(J27:BQ27)</f>
        <v>1</v>
      </c>
      <c r="BS27" s="28" t="s">
        <v>803</v>
      </c>
      <c r="BT27" s="28"/>
      <c r="BU27" s="20" t="s">
        <v>804</v>
      </c>
      <c r="BV27" s="27" t="str">
        <f>IF(BR27&lt;=0,"0",IF(BR27=1,"1",IF(BR27=2,"2",IF(BR27=3,"3",IF(BR27&gt;=4,"4")))))</f>
        <v>1</v>
      </c>
    </row>
    <row r="28" spans="1:74" ht="50.45" customHeight="1" x14ac:dyDescent="0.25">
      <c r="A28" s="97">
        <v>4</v>
      </c>
      <c r="B28" s="185" t="s">
        <v>305</v>
      </c>
      <c r="C28" s="134" t="s">
        <v>306</v>
      </c>
      <c r="D28" s="134">
        <v>9710578836</v>
      </c>
      <c r="E28" s="134" t="s">
        <v>307</v>
      </c>
      <c r="F28" s="134"/>
      <c r="G28" s="134" t="s">
        <v>230</v>
      </c>
      <c r="H28" s="134" t="s">
        <v>15</v>
      </c>
      <c r="I28" s="134">
        <v>800</v>
      </c>
      <c r="J28" s="4"/>
      <c r="K28" s="31"/>
      <c r="L28" s="31"/>
      <c r="M28" s="2"/>
      <c r="N28" s="31"/>
      <c r="O28" s="31"/>
      <c r="P28" s="38"/>
      <c r="Q28" s="38"/>
      <c r="R28" s="38"/>
      <c r="S28" s="14"/>
      <c r="T28" s="38"/>
      <c r="U28" s="38"/>
      <c r="V28" s="14"/>
      <c r="W28" s="5"/>
      <c r="X28" s="5"/>
      <c r="Y28" s="14"/>
      <c r="Z28" s="5"/>
      <c r="AA28" s="5"/>
      <c r="AB28" s="5"/>
      <c r="AC28" s="5"/>
      <c r="AD28" s="5"/>
      <c r="AE28" s="5"/>
      <c r="AF28" s="5"/>
      <c r="AG28" s="5"/>
      <c r="AH28" s="2"/>
      <c r="AI28" s="5"/>
      <c r="AJ28" s="5"/>
      <c r="AK28" s="5"/>
      <c r="AL28" s="5"/>
      <c r="AM28" s="5"/>
      <c r="AN28" s="2"/>
      <c r="AO28" s="5"/>
      <c r="AP28" s="5"/>
      <c r="AQ28" s="2"/>
      <c r="AR28" s="5"/>
      <c r="AS28" s="5"/>
      <c r="AT28" s="14"/>
      <c r="AU28" s="5"/>
      <c r="AV28" s="5"/>
      <c r="AW28" s="5"/>
      <c r="AX28" s="5"/>
      <c r="AY28" s="5"/>
      <c r="AZ28" s="43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135">
        <f>COUNTA(J28:BQ28)</f>
        <v>0</v>
      </c>
      <c r="BS28" s="28"/>
      <c r="BT28" s="28"/>
      <c r="BU28" s="20"/>
      <c r="BV28" s="27" t="str">
        <f>IF(BR28&lt;=0,"0",IF(BR28=1,"1",IF(BR28=2,"2",IF(BR28=3,"3",IF(BR28&gt;=4,"4")))))</f>
        <v>0</v>
      </c>
    </row>
    <row r="29" spans="1:74" ht="43.9" customHeight="1" x14ac:dyDescent="0.25">
      <c r="A29" s="97"/>
      <c r="B29" s="138"/>
      <c r="C29" s="134"/>
      <c r="D29" s="134"/>
      <c r="E29" s="134"/>
      <c r="F29" s="134"/>
      <c r="G29" s="134"/>
      <c r="H29" s="134"/>
      <c r="I29" s="134"/>
      <c r="J29" s="4"/>
      <c r="K29" s="31"/>
      <c r="L29" s="31"/>
      <c r="M29" s="2"/>
      <c r="N29" s="31"/>
      <c r="O29" s="31"/>
      <c r="P29" s="38"/>
      <c r="Q29" s="38"/>
      <c r="R29" s="38"/>
      <c r="S29" s="14"/>
      <c r="T29" s="38"/>
      <c r="U29" s="38"/>
      <c r="V29" s="14"/>
      <c r="W29" s="5"/>
      <c r="X29" s="5"/>
      <c r="Y29" s="14"/>
      <c r="Z29" s="5"/>
      <c r="AA29" s="5"/>
      <c r="AB29" s="5"/>
      <c r="AC29" s="5"/>
      <c r="AD29" s="5"/>
      <c r="AE29" s="5"/>
      <c r="AF29" s="5"/>
      <c r="AG29" s="5"/>
      <c r="AH29" s="2"/>
      <c r="AI29" s="5"/>
      <c r="AJ29" s="5"/>
      <c r="AK29" s="5"/>
      <c r="AL29" s="5"/>
      <c r="AM29" s="5"/>
      <c r="AN29" s="2"/>
      <c r="AO29" s="5"/>
      <c r="AP29" s="5"/>
      <c r="AQ29" s="2"/>
      <c r="AR29" s="5"/>
      <c r="AS29" s="5"/>
      <c r="AT29" s="14"/>
      <c r="AU29" s="5"/>
      <c r="AV29" s="5"/>
      <c r="AW29" s="5"/>
      <c r="AX29" s="5"/>
      <c r="AY29" s="5"/>
      <c r="AZ29" s="43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135"/>
      <c r="BS29" s="28"/>
      <c r="BT29" s="28"/>
      <c r="BU29" s="20"/>
      <c r="BV29" s="27"/>
    </row>
    <row r="30" spans="1:74" ht="43.9" customHeight="1" x14ac:dyDescent="0.25">
      <c r="A30" s="97"/>
      <c r="B30" s="138"/>
      <c r="C30" s="134"/>
      <c r="D30" s="134"/>
      <c r="E30" s="134"/>
      <c r="F30" s="134"/>
      <c r="G30" s="134"/>
      <c r="H30" s="134"/>
      <c r="I30" s="134"/>
      <c r="J30" s="4"/>
      <c r="K30" s="31"/>
      <c r="L30" s="31"/>
      <c r="M30" s="2"/>
      <c r="N30" s="31"/>
      <c r="O30" s="31"/>
      <c r="P30" s="38"/>
      <c r="Q30" s="38"/>
      <c r="R30" s="38"/>
      <c r="S30" s="14"/>
      <c r="T30" s="38"/>
      <c r="U30" s="38"/>
      <c r="V30" s="14"/>
      <c r="W30" s="5"/>
      <c r="X30" s="5"/>
      <c r="Y30" s="14"/>
      <c r="Z30" s="5"/>
      <c r="AA30" s="5"/>
      <c r="AB30" s="5"/>
      <c r="AC30" s="5"/>
      <c r="AD30" s="5"/>
      <c r="AE30" s="5"/>
      <c r="AF30" s="5"/>
      <c r="AG30" s="5"/>
      <c r="AH30" s="2"/>
      <c r="AI30" s="5"/>
      <c r="AJ30" s="5"/>
      <c r="AK30" s="5"/>
      <c r="AL30" s="5"/>
      <c r="AM30" s="5"/>
      <c r="AN30" s="2"/>
      <c r="AO30" s="5"/>
      <c r="AP30" s="5"/>
      <c r="AQ30" s="2"/>
      <c r="AR30" s="5"/>
      <c r="AS30" s="5"/>
      <c r="AT30" s="14"/>
      <c r="AU30" s="5"/>
      <c r="AV30" s="5"/>
      <c r="AW30" s="5"/>
      <c r="AX30" s="5"/>
      <c r="AY30" s="5"/>
      <c r="AZ30" s="43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135"/>
      <c r="BS30" s="28"/>
      <c r="BT30" s="28"/>
      <c r="BU30" s="20"/>
      <c r="BV30" s="27"/>
    </row>
  </sheetData>
  <sortState ref="B4:CG184">
    <sortCondition ref="B4"/>
  </sortState>
  <mergeCells count="34">
    <mergeCell ref="A1:BV1"/>
    <mergeCell ref="G2:G3"/>
    <mergeCell ref="BL2:BN2"/>
    <mergeCell ref="BO2:BQ2"/>
    <mergeCell ref="BF2:BH2"/>
    <mergeCell ref="BI2:BK2"/>
    <mergeCell ref="AE2:AG2"/>
    <mergeCell ref="AZ2:BB2"/>
    <mergeCell ref="BC2:BE2"/>
    <mergeCell ref="AN2:AP2"/>
    <mergeCell ref="AQ2:AS2"/>
    <mergeCell ref="AH2:AJ2"/>
    <mergeCell ref="AK2:AM2"/>
    <mergeCell ref="AT2:AV2"/>
    <mergeCell ref="AW2:AY2"/>
    <mergeCell ref="BV2:BV3"/>
    <mergeCell ref="BT2:BT3"/>
    <mergeCell ref="BR2:BR3"/>
    <mergeCell ref="BU2:BU3"/>
    <mergeCell ref="AB2:AD2"/>
    <mergeCell ref="Y2:AA2"/>
    <mergeCell ref="A2:A3"/>
    <mergeCell ref="BS2:BS3"/>
    <mergeCell ref="S2:U2"/>
    <mergeCell ref="B2:B3"/>
    <mergeCell ref="V2:X2"/>
    <mergeCell ref="E2:E3"/>
    <mergeCell ref="H2:H3"/>
    <mergeCell ref="D2:D3"/>
    <mergeCell ref="M2:O2"/>
    <mergeCell ref="I2:I3"/>
    <mergeCell ref="J2:L2"/>
    <mergeCell ref="P2:R2"/>
    <mergeCell ref="F2:F3"/>
  </mergeCells>
  <pageMargins left="0.7" right="0.38" top="0.75" bottom="0.75" header="0.3" footer="0.3"/>
  <pageSetup paperSize="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66"/>
  <sheetViews>
    <sheetView zoomScale="70" zoomScaleNormal="70" workbookViewId="0">
      <pane xSplit="8" ySplit="3" topLeftCell="I4" activePane="bottomRight" state="frozen"/>
      <selection activeCell="BT13" sqref="BT13"/>
      <selection pane="topRight" activeCell="BT13" sqref="BT13"/>
      <selection pane="bottomLeft" activeCell="BT13" sqref="BT13"/>
      <selection pane="bottomRight"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31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16.4257812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207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16.899999999999999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150">
        <f t="shared" ref="A4:A66" si="0">ROW()-3</f>
        <v>1</v>
      </c>
      <c r="B4" s="138" t="s">
        <v>528</v>
      </c>
      <c r="C4" s="134" t="s">
        <v>529</v>
      </c>
      <c r="D4" s="134"/>
      <c r="E4" s="134" t="s">
        <v>530</v>
      </c>
      <c r="F4" s="134"/>
      <c r="G4" s="134" t="s">
        <v>238</v>
      </c>
      <c r="H4" s="134" t="s">
        <v>15</v>
      </c>
      <c r="I4" s="134">
        <v>850</v>
      </c>
      <c r="J4" s="38"/>
      <c r="K4" s="99"/>
      <c r="L4" s="99"/>
      <c r="M4" s="99"/>
      <c r="N4" s="99"/>
      <c r="O4" s="99"/>
      <c r="P4" s="2" t="s">
        <v>31</v>
      </c>
      <c r="Q4" s="38"/>
      <c r="R4" s="38"/>
      <c r="S4" s="38"/>
      <c r="T4" s="38"/>
      <c r="U4" s="38"/>
      <c r="V4" s="14" t="s">
        <v>31</v>
      </c>
      <c r="W4" s="38"/>
      <c r="X4" s="38"/>
      <c r="Y4" s="14" t="s">
        <v>31</v>
      </c>
      <c r="Z4" s="38"/>
      <c r="AA4" s="38"/>
      <c r="AB4" s="38"/>
      <c r="AC4" s="38"/>
      <c r="AD4" s="38"/>
      <c r="AE4" s="5"/>
      <c r="AF4" s="5"/>
      <c r="AG4" s="5"/>
      <c r="AH4" s="16" t="s">
        <v>31</v>
      </c>
      <c r="AI4" s="5"/>
      <c r="AJ4" s="5"/>
      <c r="AK4" s="16" t="s">
        <v>31</v>
      </c>
      <c r="AL4" s="5"/>
      <c r="AM4" s="5"/>
      <c r="AN4" s="5"/>
      <c r="AO4" s="5"/>
      <c r="AP4" s="5"/>
      <c r="AQ4" s="2" t="s">
        <v>31</v>
      </c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135">
        <f>COUNTA(J4:CC4)</f>
        <v>6</v>
      </c>
      <c r="CE4" s="28" t="s">
        <v>740</v>
      </c>
      <c r="CF4" s="28" t="s">
        <v>642</v>
      </c>
      <c r="CG4" s="20" t="s">
        <v>850</v>
      </c>
      <c r="CH4" s="27" t="str">
        <f t="shared" ref="CH4:CH6" si="1">IF(CD4&lt;=0,"0",IF(CD4=1,"1",IF(CD4=2,"2",IF(CD4=3,"3",IF(CD4&gt;=4,"4")))))</f>
        <v>4</v>
      </c>
    </row>
    <row r="5" spans="1:111" ht="43.9" customHeight="1" x14ac:dyDescent="0.25">
      <c r="A5" s="150">
        <f t="shared" si="0"/>
        <v>2</v>
      </c>
      <c r="B5" s="138" t="s">
        <v>628</v>
      </c>
      <c r="C5" s="134"/>
      <c r="D5" s="134"/>
      <c r="E5" s="134"/>
      <c r="F5" s="134"/>
      <c r="G5" s="134" t="s">
        <v>238</v>
      </c>
      <c r="H5" s="134" t="s">
        <v>15</v>
      </c>
      <c r="I5" s="134">
        <v>520</v>
      </c>
      <c r="J5" s="4"/>
      <c r="K5" s="31"/>
      <c r="L5" s="31"/>
      <c r="M5" s="2"/>
      <c r="N5" s="31"/>
      <c r="O5" s="31"/>
      <c r="P5" s="14" t="s">
        <v>31</v>
      </c>
      <c r="Q5" s="14"/>
      <c r="R5" s="14"/>
      <c r="S5" s="14" t="s">
        <v>31</v>
      </c>
      <c r="T5" s="14"/>
      <c r="U5" s="14"/>
      <c r="V5" s="14" t="s">
        <v>31</v>
      </c>
      <c r="W5" s="38"/>
      <c r="X5" s="38"/>
      <c r="Y5" s="14" t="s">
        <v>31</v>
      </c>
      <c r="Z5" s="38"/>
      <c r="AA5" s="38"/>
      <c r="AB5" s="38"/>
      <c r="AC5" s="38"/>
      <c r="AD5" s="38"/>
      <c r="AE5" s="2"/>
      <c r="AF5" s="5"/>
      <c r="AG5" s="5"/>
      <c r="AH5" s="14" t="s">
        <v>31</v>
      </c>
      <c r="AI5" s="5"/>
      <c r="AJ5" s="5"/>
      <c r="AK5" s="14" t="s">
        <v>31</v>
      </c>
      <c r="AL5" s="14" t="s">
        <v>31</v>
      </c>
      <c r="AM5" s="5"/>
      <c r="AN5" s="5"/>
      <c r="AO5" s="5"/>
      <c r="AP5" s="5"/>
      <c r="AQ5" s="2" t="s">
        <v>31</v>
      </c>
      <c r="AR5" s="5"/>
      <c r="AS5" s="5"/>
      <c r="AT5" s="2"/>
      <c r="AU5" s="5"/>
      <c r="AV5" s="5"/>
      <c r="AW5" s="5"/>
      <c r="AX5" s="5"/>
      <c r="AY5" s="5"/>
      <c r="AZ5" s="2"/>
      <c r="BA5" s="5"/>
      <c r="BB5" s="5"/>
      <c r="BC5" s="2"/>
      <c r="BD5" s="5"/>
      <c r="BE5" s="5"/>
      <c r="BF5" s="14"/>
      <c r="BG5" s="5"/>
      <c r="BH5" s="5"/>
      <c r="BI5" s="5"/>
      <c r="BJ5" s="5"/>
      <c r="BK5" s="5"/>
      <c r="BL5" s="43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135">
        <f t="shared" ref="CD5:CD6" si="2">COUNTA(J5:CC5)</f>
        <v>8</v>
      </c>
      <c r="CE5" s="28" t="s">
        <v>793</v>
      </c>
      <c r="CF5" s="28" t="s">
        <v>643</v>
      </c>
      <c r="CG5" s="20" t="s">
        <v>851</v>
      </c>
      <c r="CH5" s="27" t="str">
        <f t="shared" ref="CH5" si="3">IF(CD5&lt;=0,"0",IF(CD5=1,"1",IF(CD5=2,"2",IF(CD5=3,"3",IF(CD5&gt;=4,"4")))))</f>
        <v>4</v>
      </c>
    </row>
    <row r="6" spans="1:111" ht="50.45" customHeight="1" x14ac:dyDescent="0.25">
      <c r="A6" s="150">
        <f t="shared" si="0"/>
        <v>3</v>
      </c>
      <c r="B6" s="138" t="s">
        <v>234</v>
      </c>
      <c r="C6" s="134" t="s">
        <v>235</v>
      </c>
      <c r="D6" s="134" t="s">
        <v>236</v>
      </c>
      <c r="E6" s="134" t="s">
        <v>237</v>
      </c>
      <c r="F6" s="134"/>
      <c r="G6" s="134" t="s">
        <v>238</v>
      </c>
      <c r="H6" s="134" t="s">
        <v>15</v>
      </c>
      <c r="I6" s="134">
        <v>900</v>
      </c>
      <c r="J6" s="2"/>
      <c r="K6" s="30"/>
      <c r="L6" s="30"/>
      <c r="M6" s="30"/>
      <c r="N6" s="2"/>
      <c r="O6" s="30"/>
      <c r="P6" s="2" t="s">
        <v>31</v>
      </c>
      <c r="Q6" s="2"/>
      <c r="R6" s="2"/>
      <c r="S6" s="40"/>
      <c r="T6" s="40"/>
      <c r="U6" s="40"/>
      <c r="V6" s="2"/>
      <c r="W6" s="2"/>
      <c r="X6" s="2"/>
      <c r="Y6" s="2"/>
      <c r="Z6" s="2" t="s">
        <v>31</v>
      </c>
      <c r="AA6" s="2"/>
      <c r="AB6" s="14"/>
      <c r="AC6" s="5"/>
      <c r="AD6" s="5"/>
      <c r="AE6" s="14"/>
      <c r="AF6" s="5"/>
      <c r="AG6" s="2"/>
      <c r="AH6" s="16" t="s">
        <v>31</v>
      </c>
      <c r="AI6" s="16"/>
      <c r="AJ6" s="2"/>
      <c r="AK6" s="2"/>
      <c r="AL6" s="2"/>
      <c r="AM6" s="2"/>
      <c r="AN6" s="2"/>
      <c r="AO6" s="2"/>
      <c r="AP6" s="2"/>
      <c r="AQ6" s="2" t="s">
        <v>31</v>
      </c>
      <c r="AR6" s="2"/>
      <c r="AS6" s="2"/>
      <c r="AT6" s="16"/>
      <c r="AU6" s="2"/>
      <c r="AV6" s="2"/>
      <c r="AW6" s="16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35">
        <f t="shared" si="2"/>
        <v>4</v>
      </c>
      <c r="CE6" s="28" t="s">
        <v>741</v>
      </c>
      <c r="CF6" s="28" t="s">
        <v>641</v>
      </c>
      <c r="CG6" s="20" t="s">
        <v>852</v>
      </c>
      <c r="CH6" s="27" t="str">
        <f t="shared" si="1"/>
        <v>4</v>
      </c>
    </row>
    <row r="7" spans="1:111" x14ac:dyDescent="0.25">
      <c r="A7" s="143"/>
      <c r="B7" s="144"/>
      <c r="C7" s="144"/>
      <c r="D7" s="144"/>
      <c r="E7" s="144"/>
      <c r="F7" s="144"/>
      <c r="G7" s="144"/>
      <c r="H7" s="143"/>
      <c r="I7" s="145"/>
      <c r="J7" s="143"/>
      <c r="K7" s="146"/>
      <c r="L7" s="146"/>
      <c r="M7" s="146"/>
      <c r="N7" s="146"/>
      <c r="O7" s="146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7"/>
      <c r="CF7" s="147"/>
      <c r="CG7" s="148"/>
      <c r="CH7" s="149"/>
    </row>
    <row r="8" spans="1:111" ht="50.45" customHeight="1" x14ac:dyDescent="0.25">
      <c r="A8" s="150">
        <f>ROW()-4</f>
        <v>4</v>
      </c>
      <c r="B8" s="138" t="s">
        <v>275</v>
      </c>
      <c r="C8" s="134" t="s">
        <v>276</v>
      </c>
      <c r="D8" s="134">
        <v>7667267010</v>
      </c>
      <c r="E8" s="134" t="s">
        <v>277</v>
      </c>
      <c r="F8" s="134"/>
      <c r="G8" s="134" t="s">
        <v>238</v>
      </c>
      <c r="H8" s="134" t="s">
        <v>30</v>
      </c>
      <c r="I8" s="134">
        <v>1100</v>
      </c>
      <c r="J8" s="4"/>
      <c r="K8" s="31"/>
      <c r="L8" s="31"/>
      <c r="M8" s="2"/>
      <c r="N8" s="31"/>
      <c r="O8" s="31"/>
      <c r="P8" s="14" t="s">
        <v>31</v>
      </c>
      <c r="Q8" s="14"/>
      <c r="R8" s="14"/>
      <c r="S8" s="14" t="s">
        <v>31</v>
      </c>
      <c r="T8" s="14"/>
      <c r="U8" s="14"/>
      <c r="V8" s="14"/>
      <c r="W8" s="38"/>
      <c r="X8" s="38"/>
      <c r="Y8" s="14" t="s">
        <v>31</v>
      </c>
      <c r="Z8" s="38"/>
      <c r="AA8" s="38"/>
      <c r="AB8" s="38"/>
      <c r="AC8" s="38"/>
      <c r="AD8" s="38"/>
      <c r="AE8" s="2"/>
      <c r="AF8" s="5"/>
      <c r="AG8" s="5"/>
      <c r="AH8" s="14" t="s">
        <v>31</v>
      </c>
      <c r="AI8" s="5"/>
      <c r="AJ8" s="5"/>
      <c r="AK8" s="14"/>
      <c r="AL8" s="5"/>
      <c r="AM8" s="5"/>
      <c r="AN8" s="5"/>
      <c r="AO8" s="5"/>
      <c r="AP8" s="5"/>
      <c r="AQ8" s="5"/>
      <c r="AR8" s="5"/>
      <c r="AS8" s="5"/>
      <c r="AT8" s="2"/>
      <c r="AU8" s="5"/>
      <c r="AV8" s="5"/>
      <c r="AW8" s="5"/>
      <c r="AX8" s="5"/>
      <c r="AY8" s="5"/>
      <c r="AZ8" s="2"/>
      <c r="BA8" s="5"/>
      <c r="BB8" s="5"/>
      <c r="BC8" s="2"/>
      <c r="BD8" s="5"/>
      <c r="BE8" s="5"/>
      <c r="BF8" s="14"/>
      <c r="BG8" s="5"/>
      <c r="BH8" s="5"/>
      <c r="BI8" s="5"/>
      <c r="BJ8" s="5"/>
      <c r="BK8" s="5"/>
      <c r="BL8" s="43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35">
        <f>COUNTA(J8:CC8)</f>
        <v>4</v>
      </c>
      <c r="CE8" s="28"/>
      <c r="CF8" s="179" t="s">
        <v>743</v>
      </c>
      <c r="CG8" s="20" t="s">
        <v>742</v>
      </c>
      <c r="CH8" s="27" t="str">
        <f t="shared" ref="CH8" si="4">IF(CD8&lt;=0,"0",IF(CD8=1,"1",IF(CD8=2,"2",IF(CD8=3,"3",IF(CD8&gt;=4,"4")))))</f>
        <v>4</v>
      </c>
    </row>
    <row r="64" spans="1:86" ht="50.45" customHeight="1" x14ac:dyDescent="0.25">
      <c r="A64" s="150">
        <f>ROW()-3</f>
        <v>61</v>
      </c>
      <c r="B64" s="214" t="s">
        <v>505</v>
      </c>
      <c r="C64" s="134" t="s">
        <v>506</v>
      </c>
      <c r="D64" s="134">
        <v>6381039699</v>
      </c>
      <c r="E64" s="134" t="s">
        <v>507</v>
      </c>
      <c r="F64" s="134"/>
      <c r="G64" s="134" t="s">
        <v>238</v>
      </c>
      <c r="H64" s="134" t="s">
        <v>15</v>
      </c>
      <c r="I64" s="134">
        <v>500</v>
      </c>
      <c r="J64" s="38"/>
      <c r="K64" s="99"/>
      <c r="L64" s="99"/>
      <c r="M64" s="99"/>
      <c r="N64" s="99"/>
      <c r="O64" s="99"/>
      <c r="P64" s="2" t="s">
        <v>31</v>
      </c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2" t="s">
        <v>31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135">
        <f>COUNTA(J64:CC64)</f>
        <v>2</v>
      </c>
      <c r="CE64" s="28"/>
      <c r="CF64" s="28" t="s">
        <v>596</v>
      </c>
      <c r="CG64" s="20" t="s">
        <v>853</v>
      </c>
      <c r="CH64" s="27" t="str">
        <f>IF(CD64&lt;=0,"0",IF(CD64=1,"1",IF(CD64=2,"2",IF(CD64=3,"3",IF(CD64&gt;=4,"4")))))</f>
        <v>2</v>
      </c>
    </row>
    <row r="65" spans="1:86" ht="50.45" customHeight="1" x14ac:dyDescent="0.25">
      <c r="A65" s="150">
        <f t="shared" si="0"/>
        <v>62</v>
      </c>
      <c r="B65" s="214" t="s">
        <v>626</v>
      </c>
      <c r="C65" s="134"/>
      <c r="D65" s="134"/>
      <c r="E65" s="134"/>
      <c r="F65" s="134"/>
      <c r="G65" s="134" t="s">
        <v>238</v>
      </c>
      <c r="H65" s="134" t="s">
        <v>15</v>
      </c>
      <c r="I65" s="134"/>
      <c r="J65" s="38"/>
      <c r="K65" s="99"/>
      <c r="L65" s="99"/>
      <c r="M65" s="99"/>
      <c r="N65" s="99"/>
      <c r="O65" s="99"/>
      <c r="P65" s="2"/>
      <c r="Q65" s="38"/>
      <c r="R65" s="38"/>
      <c r="S65" s="38"/>
      <c r="T65" s="38"/>
      <c r="U65" s="38"/>
      <c r="V65" s="14" t="s">
        <v>31</v>
      </c>
      <c r="W65" s="38"/>
      <c r="X65" s="38"/>
      <c r="Y65" s="38"/>
      <c r="Z65" s="38"/>
      <c r="AA65" s="38"/>
      <c r="AB65" s="38"/>
      <c r="AC65" s="38"/>
      <c r="AD65" s="38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2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135">
        <f>COUNTA(J65:CC65)</f>
        <v>1</v>
      </c>
      <c r="CE65" s="28"/>
      <c r="CF65" s="28"/>
      <c r="CG65" s="20" t="s">
        <v>627</v>
      </c>
      <c r="CH65" s="27" t="str">
        <f>IF(CD65&lt;=0,"0",IF(CD65=1,"1",IF(CD65=2,"2",IF(CD65=3,"3",IF(CD65&gt;=4,"4")))))</f>
        <v>1</v>
      </c>
    </row>
    <row r="66" spans="1:86" ht="50.45" customHeight="1" x14ac:dyDescent="0.25">
      <c r="A66" s="150">
        <f t="shared" si="0"/>
        <v>63</v>
      </c>
      <c r="B66" s="214" t="s">
        <v>644</v>
      </c>
      <c r="C66" s="134"/>
      <c r="D66" s="134"/>
      <c r="E66" s="134" t="s">
        <v>237</v>
      </c>
      <c r="F66" s="134"/>
      <c r="G66" s="134" t="s">
        <v>238</v>
      </c>
      <c r="H66" s="134" t="s">
        <v>15</v>
      </c>
      <c r="I66" s="134"/>
      <c r="J66" s="2"/>
      <c r="K66" s="30"/>
      <c r="L66" s="30"/>
      <c r="M66" s="30"/>
      <c r="N66" s="2"/>
      <c r="O66" s="30"/>
      <c r="P66" s="2"/>
      <c r="Q66" s="2"/>
      <c r="R66" s="2"/>
      <c r="S66" s="40"/>
      <c r="T66" s="40"/>
      <c r="U66" s="40"/>
      <c r="V66" s="2"/>
      <c r="W66" s="2"/>
      <c r="X66" s="2"/>
      <c r="Y66" s="2" t="s">
        <v>31</v>
      </c>
      <c r="Z66" s="2"/>
      <c r="AA66" s="2"/>
      <c r="AB66" s="14"/>
      <c r="AC66" s="5"/>
      <c r="AD66" s="5"/>
      <c r="AE66" s="14"/>
      <c r="AF66" s="5"/>
      <c r="AG66" s="2"/>
      <c r="AH66" s="16"/>
      <c r="AI66" s="16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16"/>
      <c r="AU66" s="2"/>
      <c r="AV66" s="2"/>
      <c r="AW66" s="16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135">
        <f t="shared" ref="CD66" si="5">COUNTA(J66:CC66)</f>
        <v>1</v>
      </c>
      <c r="CE66" s="28"/>
      <c r="CF66" s="28" t="s">
        <v>646</v>
      </c>
      <c r="CG66" s="20" t="s">
        <v>645</v>
      </c>
      <c r="CH66" s="27" t="str">
        <f>IF(CD66&lt;=0,"0",IF(CD66=1,"1",IF(CD66=2,"2",IF(CD66=3,"3",IF(CD66&gt;=4,"4")))))</f>
        <v>1</v>
      </c>
    </row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58"/>
  <sheetViews>
    <sheetView zoomScale="70" zoomScaleNormal="70" workbookViewId="0">
      <pane xSplit="7" ySplit="3" topLeftCell="H10" activePane="bottomRight" state="frozen"/>
      <selection activeCell="BT13" sqref="BT13"/>
      <selection pane="topRight" activeCell="BT13" sqref="BT13"/>
      <selection pane="bottomLeft" activeCell="BT13" sqref="BT13"/>
      <selection pane="bottomRight"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14.855468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152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63">
        <f>ROW()-3</f>
        <v>1</v>
      </c>
      <c r="B4" s="138" t="s">
        <v>510</v>
      </c>
      <c r="C4" s="134" t="s">
        <v>511</v>
      </c>
      <c r="D4" s="134"/>
      <c r="E4" s="134" t="s">
        <v>512</v>
      </c>
      <c r="F4" s="134"/>
      <c r="G4" s="134" t="s">
        <v>249</v>
      </c>
      <c r="H4" s="134" t="s">
        <v>15</v>
      </c>
      <c r="I4" s="134">
        <v>1000</v>
      </c>
      <c r="J4" s="38"/>
      <c r="K4" s="99"/>
      <c r="L4" s="99"/>
      <c r="M4" s="2" t="s">
        <v>31</v>
      </c>
      <c r="N4" s="99"/>
      <c r="O4" s="99"/>
      <c r="P4" s="38"/>
      <c r="Q4" s="38"/>
      <c r="R4" s="38"/>
      <c r="S4" s="14" t="s">
        <v>31</v>
      </c>
      <c r="T4" s="38"/>
      <c r="U4" s="38"/>
      <c r="V4" s="38"/>
      <c r="W4" s="38"/>
      <c r="X4" s="38"/>
      <c r="Y4" s="38"/>
      <c r="Z4" s="38"/>
      <c r="AA4" s="38"/>
      <c r="AB4" s="2" t="s">
        <v>31</v>
      </c>
      <c r="AC4" s="2"/>
      <c r="AD4" s="2"/>
      <c r="AE4" s="2" t="s">
        <v>31</v>
      </c>
      <c r="AF4" s="2"/>
      <c r="AG4" s="2"/>
      <c r="AH4" s="2" t="s">
        <v>31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2" t="s">
        <v>31</v>
      </c>
      <c r="BV4" s="5"/>
      <c r="BW4" s="5"/>
      <c r="BX4" s="5"/>
      <c r="BY4" s="5"/>
      <c r="BZ4" s="5"/>
      <c r="CA4" s="5"/>
      <c r="CB4" s="5"/>
      <c r="CC4" s="5"/>
      <c r="CD4" s="135">
        <f>COUNTA(J4:CC4)</f>
        <v>6</v>
      </c>
      <c r="CE4" s="28" t="s">
        <v>698</v>
      </c>
      <c r="CF4" s="28" t="s">
        <v>570</v>
      </c>
      <c r="CG4" s="20" t="s">
        <v>1050</v>
      </c>
      <c r="CH4" s="27" t="str">
        <f>IF(CD4&lt;=0,"0",IF(CD4=1,"1",IF(CD4=2,"2",IF(CD4=3,"3",IF(CD4&gt;=4,"4")))))</f>
        <v>4</v>
      </c>
    </row>
    <row r="5" spans="1:111" ht="50.45" customHeight="1" x14ac:dyDescent="0.25">
      <c r="A5" s="63">
        <f t="shared" ref="A5:A58" si="0">ROW()-3</f>
        <v>2</v>
      </c>
      <c r="B5" s="138" t="s">
        <v>246</v>
      </c>
      <c r="C5" s="134" t="s">
        <v>247</v>
      </c>
      <c r="D5" s="134">
        <v>9751205906</v>
      </c>
      <c r="E5" s="134" t="s">
        <v>248</v>
      </c>
      <c r="F5" s="134"/>
      <c r="G5" s="134" t="s">
        <v>249</v>
      </c>
      <c r="H5" s="134" t="s">
        <v>15</v>
      </c>
      <c r="I5" s="134">
        <v>800</v>
      </c>
      <c r="J5" s="2"/>
      <c r="K5" s="32"/>
      <c r="L5" s="32"/>
      <c r="M5" s="2" t="s">
        <v>31</v>
      </c>
      <c r="N5" s="2"/>
      <c r="O5" s="32"/>
      <c r="P5" s="2" t="s">
        <v>31</v>
      </c>
      <c r="Q5" s="2"/>
      <c r="R5" s="2"/>
      <c r="S5" s="40"/>
      <c r="T5" s="40"/>
      <c r="U5" s="40"/>
      <c r="V5" s="2" t="s">
        <v>31</v>
      </c>
      <c r="W5" s="2"/>
      <c r="X5" s="2"/>
      <c r="Y5" s="2"/>
      <c r="Z5" s="2"/>
      <c r="AA5" s="2" t="s">
        <v>31</v>
      </c>
      <c r="AB5" s="2" t="s">
        <v>31</v>
      </c>
      <c r="AC5" s="2"/>
      <c r="AD5" s="2"/>
      <c r="AE5" s="2" t="s">
        <v>31</v>
      </c>
      <c r="AF5" s="2"/>
      <c r="AG5" s="2"/>
      <c r="AH5" s="2"/>
      <c r="AI5" s="2"/>
      <c r="AJ5" s="2"/>
      <c r="AK5" s="2"/>
      <c r="AL5" s="2"/>
      <c r="AM5" s="2"/>
      <c r="AN5" s="2" t="s">
        <v>31</v>
      </c>
      <c r="AO5" s="2"/>
      <c r="AP5" s="2"/>
      <c r="AQ5" s="2" t="s">
        <v>31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 t="s">
        <v>31</v>
      </c>
      <c r="BM5" s="2"/>
      <c r="BN5" s="2"/>
      <c r="BO5" s="2" t="s">
        <v>31</v>
      </c>
      <c r="BP5" s="2"/>
      <c r="BQ5" s="2"/>
      <c r="BR5" s="2" t="s">
        <v>31</v>
      </c>
      <c r="BS5" s="2" t="s">
        <v>31</v>
      </c>
      <c r="BT5" s="2"/>
      <c r="BU5" s="2" t="s">
        <v>31</v>
      </c>
      <c r="BV5" s="2"/>
      <c r="BW5" s="2"/>
      <c r="BX5" s="2"/>
      <c r="BY5" s="2"/>
      <c r="BZ5" s="2"/>
      <c r="CA5" s="2"/>
      <c r="CB5" s="2"/>
      <c r="CC5" s="2"/>
      <c r="CD5" s="135">
        <f t="shared" ref="CD5:CD10" si="1">COUNTA(J5:CC5)</f>
        <v>13</v>
      </c>
      <c r="CE5" s="28" t="s">
        <v>841</v>
      </c>
      <c r="CF5" s="28" t="s">
        <v>999</v>
      </c>
      <c r="CG5" s="20" t="s">
        <v>1051</v>
      </c>
      <c r="CH5" s="27" t="str">
        <f>IF(CD5&lt;=0,"0",IF(CD5=1,"1",IF(CD5=2,"2",IF(CD5=3,"3",IF(CD5&gt;=4,"4")))))</f>
        <v>4</v>
      </c>
    </row>
    <row r="6" spans="1:111" ht="50.45" customHeight="1" x14ac:dyDescent="0.25">
      <c r="A6" s="63">
        <f t="shared" si="0"/>
        <v>3</v>
      </c>
      <c r="B6" s="138" t="s">
        <v>508</v>
      </c>
      <c r="C6" s="134" t="s">
        <v>506</v>
      </c>
      <c r="D6" s="134">
        <v>6381211244</v>
      </c>
      <c r="E6" s="134" t="s">
        <v>509</v>
      </c>
      <c r="F6" s="134"/>
      <c r="G6" s="134" t="s">
        <v>249</v>
      </c>
      <c r="H6" s="134" t="s">
        <v>15</v>
      </c>
      <c r="I6" s="134">
        <v>800</v>
      </c>
      <c r="J6" s="38"/>
      <c r="K6" s="99"/>
      <c r="L6" s="99"/>
      <c r="M6" s="99"/>
      <c r="N6" s="99"/>
      <c r="O6" s="99"/>
      <c r="P6" s="38"/>
      <c r="Q6" s="38"/>
      <c r="R6" s="38"/>
      <c r="S6" s="14" t="s">
        <v>31</v>
      </c>
      <c r="T6" s="38"/>
      <c r="U6" s="38"/>
      <c r="V6" s="38"/>
      <c r="W6" s="38"/>
      <c r="X6" s="38"/>
      <c r="Y6" s="2"/>
      <c r="Z6" s="2"/>
      <c r="AA6" s="2" t="s">
        <v>31</v>
      </c>
      <c r="AB6" s="2" t="s">
        <v>31</v>
      </c>
      <c r="AC6" s="2"/>
      <c r="AD6" s="2"/>
      <c r="AE6" s="2"/>
      <c r="AF6" s="2"/>
      <c r="AG6" s="2"/>
      <c r="AH6" s="5"/>
      <c r="AI6" s="5"/>
      <c r="AJ6" s="5"/>
      <c r="AK6" s="2" t="s">
        <v>31</v>
      </c>
      <c r="AL6" s="5"/>
      <c r="AM6" s="5"/>
      <c r="AN6" s="5"/>
      <c r="AO6" s="5"/>
      <c r="AP6" s="5"/>
      <c r="AQ6" s="5"/>
      <c r="AR6" s="5"/>
      <c r="AS6" s="5"/>
      <c r="AT6" s="14" t="s">
        <v>31</v>
      </c>
      <c r="AU6" s="5"/>
      <c r="AV6" s="5"/>
      <c r="AW6" s="14" t="s">
        <v>31</v>
      </c>
      <c r="AX6" s="5"/>
      <c r="AY6" s="5"/>
      <c r="AZ6" s="14" t="s">
        <v>31</v>
      </c>
      <c r="BA6" s="5"/>
      <c r="BB6" s="5"/>
      <c r="BC6" s="5"/>
      <c r="BD6" s="5"/>
      <c r="BE6" s="5"/>
      <c r="BF6" s="14" t="s">
        <v>31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135">
        <f t="shared" si="1"/>
        <v>8</v>
      </c>
      <c r="CE6" s="28" t="s">
        <v>933</v>
      </c>
      <c r="CF6" s="28" t="s">
        <v>699</v>
      </c>
      <c r="CG6" s="20" t="s">
        <v>956</v>
      </c>
      <c r="CH6" s="27" t="str">
        <f>IF(CD6&lt;=0,"0",IF(CD6=1,"1",IF(CD6=2,"2",IF(CD6=3,"3",IF(CD6&gt;=4,"4")))))</f>
        <v>4</v>
      </c>
    </row>
    <row r="7" spans="1:111" ht="50.45" customHeight="1" x14ac:dyDescent="0.25">
      <c r="A7" s="63">
        <f t="shared" si="0"/>
        <v>4</v>
      </c>
      <c r="B7" s="138" t="s">
        <v>586</v>
      </c>
      <c r="C7" s="134"/>
      <c r="D7" s="134"/>
      <c r="E7" s="134"/>
      <c r="F7" s="134"/>
      <c r="G7" s="134" t="s">
        <v>249</v>
      </c>
      <c r="H7" s="134" t="s">
        <v>15</v>
      </c>
      <c r="I7" s="134"/>
      <c r="J7" s="38"/>
      <c r="K7" s="99"/>
      <c r="L7" s="99"/>
      <c r="M7" s="99"/>
      <c r="N7" s="99"/>
      <c r="O7" s="99"/>
      <c r="P7" s="2" t="s">
        <v>31</v>
      </c>
      <c r="Q7" s="38"/>
      <c r="R7" s="38"/>
      <c r="S7" s="2" t="s">
        <v>31</v>
      </c>
      <c r="T7" s="38"/>
      <c r="U7" s="38"/>
      <c r="V7" s="14" t="s">
        <v>31</v>
      </c>
      <c r="W7" s="38"/>
      <c r="X7" s="38"/>
      <c r="Y7" s="2" t="s">
        <v>31</v>
      </c>
      <c r="Z7" s="2"/>
      <c r="AA7" s="2"/>
      <c r="AB7" s="2" t="s">
        <v>31</v>
      </c>
      <c r="AC7" s="2"/>
      <c r="AD7" s="2"/>
      <c r="AE7" s="2" t="s">
        <v>31</v>
      </c>
      <c r="AF7" s="2" t="s">
        <v>31</v>
      </c>
      <c r="AG7" s="2"/>
      <c r="AH7" s="14" t="s">
        <v>31</v>
      </c>
      <c r="AI7" s="5"/>
      <c r="AJ7" s="5"/>
      <c r="AK7" s="5"/>
      <c r="AL7" s="5"/>
      <c r="AM7" s="5"/>
      <c r="AN7" s="2"/>
      <c r="AO7" s="2"/>
      <c r="AP7" s="2"/>
      <c r="AQ7" s="2"/>
      <c r="AR7" s="2"/>
      <c r="AS7" s="5"/>
      <c r="AT7" s="5"/>
      <c r="AU7" s="5"/>
      <c r="AV7" s="5"/>
      <c r="AW7" s="14" t="s">
        <v>31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14" t="s">
        <v>31</v>
      </c>
      <c r="BJ7" s="5"/>
      <c r="BK7" s="5"/>
      <c r="BL7" s="2" t="s">
        <v>31</v>
      </c>
      <c r="BM7" s="5"/>
      <c r="BN7" s="5"/>
      <c r="BO7" s="5"/>
      <c r="BP7" s="5"/>
      <c r="BQ7" s="5"/>
      <c r="BR7" s="2" t="s">
        <v>31</v>
      </c>
      <c r="BS7" s="2" t="s">
        <v>31</v>
      </c>
      <c r="BT7" s="5"/>
      <c r="BU7" s="2" t="s">
        <v>31</v>
      </c>
      <c r="BV7" s="5"/>
      <c r="BW7" s="5"/>
      <c r="BX7" s="14" t="s">
        <v>31</v>
      </c>
      <c r="BY7" s="5"/>
      <c r="BZ7" s="5"/>
      <c r="CA7" s="5"/>
      <c r="CB7" s="5"/>
      <c r="CC7" s="5"/>
      <c r="CD7" s="135">
        <f t="shared" si="1"/>
        <v>15</v>
      </c>
      <c r="CE7" s="28" t="s">
        <v>903</v>
      </c>
      <c r="CF7" s="28" t="s">
        <v>639</v>
      </c>
      <c r="CG7" s="20" t="s">
        <v>1090</v>
      </c>
      <c r="CH7" s="27" t="str">
        <f t="shared" ref="CH7:CH10" si="2">IF(CD7&lt;=0,"0",IF(CD7=1,"1",IF(CD7=2,"2",IF(CD7=3,"3",IF(CD7&gt;=4,"4")))))</f>
        <v>4</v>
      </c>
    </row>
    <row r="8" spans="1:111" ht="50.45" customHeight="1" x14ac:dyDescent="0.25">
      <c r="A8" s="63">
        <f t="shared" si="0"/>
        <v>5</v>
      </c>
      <c r="B8" s="138" t="s">
        <v>878</v>
      </c>
      <c r="C8" s="134" t="s">
        <v>879</v>
      </c>
      <c r="D8" s="38"/>
      <c r="E8" s="134">
        <v>1000</v>
      </c>
      <c r="F8" s="134"/>
      <c r="G8" s="134" t="s">
        <v>249</v>
      </c>
      <c r="H8" s="134" t="s">
        <v>15</v>
      </c>
      <c r="I8" s="134"/>
      <c r="J8" s="38"/>
      <c r="K8" s="99"/>
      <c r="L8" s="99"/>
      <c r="M8" s="99"/>
      <c r="N8" s="99"/>
      <c r="O8" s="99"/>
      <c r="P8" s="2"/>
      <c r="Q8" s="38"/>
      <c r="R8" s="38"/>
      <c r="S8" s="2"/>
      <c r="T8" s="38"/>
      <c r="U8" s="38"/>
      <c r="V8" s="14"/>
      <c r="W8" s="38"/>
      <c r="X8" s="38"/>
      <c r="Y8" s="2"/>
      <c r="Z8" s="2"/>
      <c r="AA8" s="2"/>
      <c r="AB8" s="2"/>
      <c r="AC8" s="2"/>
      <c r="AD8" s="2"/>
      <c r="AE8" s="2"/>
      <c r="AF8" s="2"/>
      <c r="AG8" s="2"/>
      <c r="AH8" s="14"/>
      <c r="AI8" s="5"/>
      <c r="AJ8" s="5"/>
      <c r="AK8" s="5"/>
      <c r="AL8" s="5"/>
      <c r="AM8" s="5"/>
      <c r="AN8" s="2"/>
      <c r="AO8" s="2"/>
      <c r="AP8" s="2"/>
      <c r="AQ8" s="2"/>
      <c r="AR8" s="2"/>
      <c r="AS8" s="5"/>
      <c r="AT8" s="14" t="s">
        <v>31</v>
      </c>
      <c r="AU8" s="5"/>
      <c r="AV8" s="5"/>
      <c r="AW8" s="5"/>
      <c r="AX8" s="5"/>
      <c r="AY8" s="5"/>
      <c r="AZ8" s="14" t="s">
        <v>31</v>
      </c>
      <c r="BA8" s="5"/>
      <c r="BB8" s="5"/>
      <c r="BC8" s="14" t="s">
        <v>31</v>
      </c>
      <c r="BD8" s="5"/>
      <c r="BE8" s="5"/>
      <c r="BF8" s="5"/>
      <c r="BG8" s="5"/>
      <c r="BH8" s="5"/>
      <c r="BI8" s="5"/>
      <c r="BJ8" s="5"/>
      <c r="BK8" s="5"/>
      <c r="BL8" s="2" t="s">
        <v>31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35">
        <f t="shared" si="1"/>
        <v>4</v>
      </c>
      <c r="CE8" s="28"/>
      <c r="CF8" s="28"/>
      <c r="CG8" s="20" t="s">
        <v>963</v>
      </c>
      <c r="CH8" s="27" t="str">
        <f t="shared" si="2"/>
        <v>4</v>
      </c>
    </row>
    <row r="9" spans="1:111" ht="50.45" customHeight="1" x14ac:dyDescent="0.25">
      <c r="A9" s="63">
        <f t="shared" si="0"/>
        <v>6</v>
      </c>
      <c r="B9" s="138" t="s">
        <v>715</v>
      </c>
      <c r="C9" s="139" t="s">
        <v>877</v>
      </c>
      <c r="D9" s="13"/>
      <c r="E9" s="134">
        <v>1500</v>
      </c>
      <c r="F9" s="134"/>
      <c r="G9" s="134" t="s">
        <v>249</v>
      </c>
      <c r="H9" s="134" t="s">
        <v>15</v>
      </c>
      <c r="I9" s="134">
        <v>1500</v>
      </c>
      <c r="J9" s="38"/>
      <c r="K9" s="99"/>
      <c r="L9" s="99"/>
      <c r="M9" s="99"/>
      <c r="N9" s="99"/>
      <c r="O9" s="99"/>
      <c r="P9" s="2"/>
      <c r="Q9" s="38"/>
      <c r="R9" s="38"/>
      <c r="S9" s="2"/>
      <c r="T9" s="38"/>
      <c r="U9" s="38"/>
      <c r="V9" s="14"/>
      <c r="W9" s="38"/>
      <c r="X9" s="38"/>
      <c r="Y9" s="2"/>
      <c r="Z9" s="2"/>
      <c r="AA9" s="2"/>
      <c r="AB9" s="2"/>
      <c r="AC9" s="2"/>
      <c r="AD9" s="2"/>
      <c r="AE9" s="2" t="s">
        <v>31</v>
      </c>
      <c r="AF9" s="2"/>
      <c r="AG9" s="2"/>
      <c r="AH9" s="14" t="s">
        <v>31</v>
      </c>
      <c r="AI9" s="5"/>
      <c r="AJ9" s="5"/>
      <c r="AK9" s="5"/>
      <c r="AL9" s="5"/>
      <c r="AM9" s="5"/>
      <c r="AN9" s="2"/>
      <c r="AO9" s="2"/>
      <c r="AP9" s="2"/>
      <c r="AQ9" s="2" t="s">
        <v>31</v>
      </c>
      <c r="AR9" s="2"/>
      <c r="AS9" s="5"/>
      <c r="AT9" s="14" t="s">
        <v>31</v>
      </c>
      <c r="AU9" s="5"/>
      <c r="AV9" s="5"/>
      <c r="AW9" s="14" t="s">
        <v>31</v>
      </c>
      <c r="AX9" s="5"/>
      <c r="AY9" s="5"/>
      <c r="AZ9" s="14" t="s">
        <v>31</v>
      </c>
      <c r="BA9" s="5"/>
      <c r="BB9" s="5"/>
      <c r="BC9" s="14" t="s">
        <v>31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2" t="s">
        <v>31</v>
      </c>
      <c r="BS9" s="2" t="s">
        <v>31</v>
      </c>
      <c r="BT9" s="5"/>
      <c r="BU9" s="2" t="s">
        <v>31</v>
      </c>
      <c r="BV9" s="5"/>
      <c r="BW9" s="5"/>
      <c r="BX9" s="5"/>
      <c r="BY9" s="5"/>
      <c r="BZ9" s="5"/>
      <c r="CA9" s="5"/>
      <c r="CB9" s="5"/>
      <c r="CC9" s="5"/>
      <c r="CD9" s="135">
        <f t="shared" si="1"/>
        <v>10</v>
      </c>
      <c r="CE9" s="28" t="s">
        <v>931</v>
      </c>
      <c r="CF9" s="28" t="s">
        <v>730</v>
      </c>
      <c r="CG9" s="20" t="s">
        <v>1052</v>
      </c>
      <c r="CH9" s="27" t="str">
        <f t="shared" si="2"/>
        <v>4</v>
      </c>
    </row>
    <row r="10" spans="1:111" ht="50.45" customHeight="1" x14ac:dyDescent="0.25">
      <c r="A10" s="63">
        <f t="shared" si="0"/>
        <v>7</v>
      </c>
      <c r="B10" s="299" t="s">
        <v>534</v>
      </c>
      <c r="C10" s="134" t="s">
        <v>535</v>
      </c>
      <c r="D10" s="134">
        <v>735887888</v>
      </c>
      <c r="E10" s="134" t="s">
        <v>536</v>
      </c>
      <c r="F10" s="134"/>
      <c r="G10" s="134" t="s">
        <v>249</v>
      </c>
      <c r="H10" s="134" t="s">
        <v>15</v>
      </c>
      <c r="I10" s="134">
        <v>900</v>
      </c>
      <c r="J10" s="38"/>
      <c r="K10" s="99"/>
      <c r="L10" s="99"/>
      <c r="M10" s="2" t="s">
        <v>31</v>
      </c>
      <c r="N10" s="99"/>
      <c r="O10" s="99"/>
      <c r="P10" s="2" t="s">
        <v>31</v>
      </c>
      <c r="Q10" s="2"/>
      <c r="R10" s="14"/>
      <c r="S10" s="40" t="s">
        <v>31</v>
      </c>
      <c r="T10" s="40"/>
      <c r="U10" s="38"/>
      <c r="V10" s="14" t="s">
        <v>31</v>
      </c>
      <c r="W10" s="38"/>
      <c r="X10" s="38"/>
      <c r="Y10" s="2" t="s">
        <v>31</v>
      </c>
      <c r="Z10" s="2"/>
      <c r="AA10" s="2"/>
      <c r="AB10" s="2" t="s">
        <v>31</v>
      </c>
      <c r="AC10" s="2"/>
      <c r="AD10" s="2"/>
      <c r="AE10" s="2" t="s">
        <v>31</v>
      </c>
      <c r="AF10" s="2" t="s">
        <v>31</v>
      </c>
      <c r="AG10" s="2"/>
      <c r="AH10" s="14" t="s">
        <v>31</v>
      </c>
      <c r="AI10" s="5"/>
      <c r="AJ10" s="5"/>
      <c r="AK10" s="14" t="s">
        <v>31</v>
      </c>
      <c r="AL10" s="5"/>
      <c r="AM10" s="5"/>
      <c r="AN10" s="2" t="s">
        <v>31</v>
      </c>
      <c r="AO10" s="2"/>
      <c r="AP10" s="2"/>
      <c r="AQ10" s="2" t="s">
        <v>31</v>
      </c>
      <c r="AR10" s="2"/>
      <c r="AS10" s="5"/>
      <c r="AT10" s="14" t="s">
        <v>31</v>
      </c>
      <c r="AU10" s="14"/>
      <c r="AV10" s="5"/>
      <c r="AW10" s="14" t="s">
        <v>31</v>
      </c>
      <c r="AX10" s="5"/>
      <c r="AY10" s="5"/>
      <c r="AZ10" s="14" t="s">
        <v>31</v>
      </c>
      <c r="BA10" s="5"/>
      <c r="BB10" s="5"/>
      <c r="BC10" s="14" t="s">
        <v>31</v>
      </c>
      <c r="BD10" s="5"/>
      <c r="BE10" s="5"/>
      <c r="BF10" s="14" t="s">
        <v>31</v>
      </c>
      <c r="BG10" s="14" t="s">
        <v>31</v>
      </c>
      <c r="BH10" s="5"/>
      <c r="BI10" s="14" t="s">
        <v>31</v>
      </c>
      <c r="BJ10" s="5"/>
      <c r="BK10" s="5"/>
      <c r="BL10" s="5"/>
      <c r="BM10" s="5"/>
      <c r="BN10" s="5"/>
      <c r="BO10" s="2" t="s">
        <v>31</v>
      </c>
      <c r="BP10" s="5"/>
      <c r="BQ10" s="5"/>
      <c r="BR10" s="2" t="s">
        <v>31</v>
      </c>
      <c r="BS10" s="5"/>
      <c r="BT10" s="5"/>
      <c r="BU10" s="5"/>
      <c r="BV10" s="5"/>
      <c r="BW10" s="5"/>
      <c r="BX10" s="14" t="s">
        <v>31</v>
      </c>
      <c r="BY10" s="5"/>
      <c r="BZ10" s="5"/>
      <c r="CA10" s="5"/>
      <c r="CB10" s="5"/>
      <c r="CC10" s="5"/>
      <c r="CD10" s="135">
        <f t="shared" si="1"/>
        <v>22</v>
      </c>
      <c r="CE10" s="28" t="s">
        <v>932</v>
      </c>
      <c r="CF10" s="28" t="s">
        <v>638</v>
      </c>
      <c r="CG10" s="20" t="s">
        <v>1089</v>
      </c>
      <c r="CH10" s="27" t="str">
        <f t="shared" si="2"/>
        <v>4</v>
      </c>
    </row>
    <row r="11" spans="1:111" ht="10.9" customHeight="1" x14ac:dyDescent="0.25">
      <c r="A11" s="151"/>
      <c r="B11" s="152"/>
      <c r="C11" s="153"/>
      <c r="D11" s="153"/>
      <c r="E11" s="153"/>
      <c r="F11" s="153"/>
      <c r="G11" s="153"/>
      <c r="H11" s="153"/>
      <c r="I11" s="153"/>
      <c r="J11" s="149"/>
      <c r="K11" s="154"/>
      <c r="L11" s="154"/>
      <c r="M11" s="129"/>
      <c r="N11" s="154"/>
      <c r="O11" s="154"/>
      <c r="P11" s="155"/>
      <c r="Q11" s="155"/>
      <c r="R11" s="156"/>
      <c r="S11" s="157"/>
      <c r="T11" s="157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9"/>
      <c r="CE11" s="160"/>
      <c r="CF11" s="160"/>
      <c r="CG11" s="88"/>
      <c r="CH11" s="161"/>
    </row>
    <row r="12" spans="1:111" ht="50.45" customHeight="1" x14ac:dyDescent="0.25">
      <c r="A12" s="63">
        <f>ROW()-4</f>
        <v>8</v>
      </c>
      <c r="B12" s="138" t="s">
        <v>587</v>
      </c>
      <c r="C12" s="134"/>
      <c r="D12" s="134"/>
      <c r="E12" s="134"/>
      <c r="F12" s="134"/>
      <c r="G12" s="134" t="s">
        <v>249</v>
      </c>
      <c r="H12" s="134" t="s">
        <v>30</v>
      </c>
      <c r="I12" s="99"/>
      <c r="J12" s="2"/>
      <c r="K12" s="2"/>
      <c r="L12" s="2"/>
      <c r="M12" s="2"/>
      <c r="N12" s="2"/>
      <c r="O12" s="2"/>
      <c r="P12" s="2" t="s">
        <v>31</v>
      </c>
      <c r="Q12" s="2"/>
      <c r="R12" s="2"/>
      <c r="S12" s="2" t="s">
        <v>31</v>
      </c>
      <c r="T12" s="2"/>
      <c r="U12" s="2"/>
      <c r="V12" s="2" t="s">
        <v>31</v>
      </c>
      <c r="W12" s="2"/>
      <c r="X12" s="2"/>
      <c r="Y12" s="2"/>
      <c r="Z12" s="2"/>
      <c r="AA12" s="2" t="s">
        <v>31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5"/>
      <c r="AN12" s="2"/>
      <c r="AO12" s="2"/>
      <c r="AP12" s="2"/>
      <c r="AQ12" s="2"/>
      <c r="AR12" s="2"/>
      <c r="AS12" s="2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135">
        <f t="shared" ref="CD12:CD17" si="3">COUNTA(J12:CC12)</f>
        <v>4</v>
      </c>
      <c r="CE12" s="28"/>
      <c r="CF12" s="28" t="s">
        <v>649</v>
      </c>
      <c r="CG12" s="20" t="s">
        <v>648</v>
      </c>
      <c r="CH12" s="27" t="str">
        <f t="shared" ref="CH12:CH16" si="4">IF(CD12&lt;=0,"0",IF(CD12=1,"1",IF(CD12=2,"2",IF(CD12=3,"3",IF(CD12&gt;=4,"4")))))</f>
        <v>4</v>
      </c>
    </row>
    <row r="13" spans="1:111" ht="50.45" customHeight="1" x14ac:dyDescent="0.25">
      <c r="A13" s="63">
        <f t="shared" ref="A13:A55" si="5">ROW()-4</f>
        <v>9</v>
      </c>
      <c r="B13" s="138" t="s">
        <v>632</v>
      </c>
      <c r="C13" s="134"/>
      <c r="D13" s="134"/>
      <c r="E13" s="134"/>
      <c r="F13" s="134"/>
      <c r="G13" s="134" t="s">
        <v>249</v>
      </c>
      <c r="H13" s="134" t="s">
        <v>30</v>
      </c>
      <c r="I13" s="13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">
        <v>31</v>
      </c>
      <c r="W13" s="2"/>
      <c r="X13" s="2"/>
      <c r="Y13" s="2"/>
      <c r="Z13" s="2"/>
      <c r="AA13" s="2" t="s">
        <v>31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5"/>
      <c r="AN13" s="2"/>
      <c r="AO13" s="2"/>
      <c r="AP13" s="2"/>
      <c r="AQ13" s="2"/>
      <c r="AR13" s="2"/>
      <c r="AS13" s="2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135">
        <f t="shared" si="3"/>
        <v>2</v>
      </c>
      <c r="CE13" s="28"/>
      <c r="CF13" s="28" t="s">
        <v>651</v>
      </c>
      <c r="CG13" s="20" t="s">
        <v>650</v>
      </c>
      <c r="CH13" s="27" t="str">
        <f t="shared" si="4"/>
        <v>2</v>
      </c>
    </row>
    <row r="14" spans="1:111" ht="50.45" customHeight="1" x14ac:dyDescent="0.25">
      <c r="A14" s="63">
        <f t="shared" si="5"/>
        <v>10</v>
      </c>
      <c r="B14" s="138" t="s">
        <v>716</v>
      </c>
      <c r="C14" s="139" t="s">
        <v>717</v>
      </c>
      <c r="D14" s="13"/>
      <c r="E14" s="134">
        <v>850</v>
      </c>
      <c r="F14" s="134"/>
      <c r="G14" s="134" t="s">
        <v>249</v>
      </c>
      <c r="H14" s="134" t="s">
        <v>30</v>
      </c>
      <c r="I14" s="134">
        <v>850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 t="s">
        <v>31</v>
      </c>
      <c r="AF14" s="2"/>
      <c r="AG14" s="2"/>
      <c r="AH14" s="2"/>
      <c r="AI14" s="2"/>
      <c r="AJ14" s="2"/>
      <c r="AK14" s="2" t="s">
        <v>31</v>
      </c>
      <c r="AL14" s="2"/>
      <c r="AM14" s="5"/>
      <c r="AN14" s="2" t="s">
        <v>31</v>
      </c>
      <c r="AO14" s="2"/>
      <c r="AP14" s="2"/>
      <c r="AQ14" s="2" t="s">
        <v>31</v>
      </c>
      <c r="AR14" s="2"/>
      <c r="AS14" s="2"/>
      <c r="AT14" s="5"/>
      <c r="AU14" s="5"/>
      <c r="AV14" s="5"/>
      <c r="AW14" s="5"/>
      <c r="AX14" s="5"/>
      <c r="AY14" s="5"/>
      <c r="AZ14" s="14" t="s">
        <v>31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" t="s">
        <v>31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14" t="s">
        <v>31</v>
      </c>
      <c r="BY14" s="5"/>
      <c r="BZ14" s="5"/>
      <c r="CA14" s="5"/>
      <c r="CB14" s="5"/>
      <c r="CC14" s="5"/>
      <c r="CD14" s="135">
        <f t="shared" si="3"/>
        <v>7</v>
      </c>
      <c r="CE14" s="28" t="s">
        <v>844</v>
      </c>
      <c r="CF14" s="28"/>
      <c r="CG14" s="20" t="s">
        <v>1087</v>
      </c>
      <c r="CH14" s="27" t="str">
        <f t="shared" si="4"/>
        <v>4</v>
      </c>
    </row>
    <row r="15" spans="1:111" ht="50.45" customHeight="1" x14ac:dyDescent="0.25">
      <c r="A15" s="63">
        <f t="shared" si="5"/>
        <v>11</v>
      </c>
      <c r="B15" s="138" t="s">
        <v>623</v>
      </c>
      <c r="C15" s="134"/>
      <c r="D15" s="134"/>
      <c r="E15" s="134"/>
      <c r="F15" s="134"/>
      <c r="G15" s="134" t="s">
        <v>249</v>
      </c>
      <c r="H15" s="134" t="s">
        <v>30</v>
      </c>
      <c r="I15" s="134"/>
      <c r="J15" s="38"/>
      <c r="K15" s="99"/>
      <c r="L15" s="99"/>
      <c r="M15" s="99"/>
      <c r="N15" s="99"/>
      <c r="O15" s="99"/>
      <c r="P15" s="2"/>
      <c r="Q15" s="38"/>
      <c r="R15" s="38"/>
      <c r="S15" s="2"/>
      <c r="T15" s="38"/>
      <c r="U15" s="38"/>
      <c r="V15" s="14" t="s">
        <v>31</v>
      </c>
      <c r="W15" s="38"/>
      <c r="X15" s="38"/>
      <c r="Y15" s="2"/>
      <c r="Z15" s="2"/>
      <c r="AA15" s="2"/>
      <c r="AB15" s="2"/>
      <c r="AC15" s="2"/>
      <c r="AD15" s="2"/>
      <c r="AE15" s="2"/>
      <c r="AF15" s="2"/>
      <c r="AG15" s="2"/>
      <c r="AH15" s="5"/>
      <c r="AI15" s="5"/>
      <c r="AJ15" s="5"/>
      <c r="AK15" s="5"/>
      <c r="AL15" s="5"/>
      <c r="AM15" s="5"/>
      <c r="AN15" s="2" t="s">
        <v>31</v>
      </c>
      <c r="AO15" s="2"/>
      <c r="AP15" s="2"/>
      <c r="AQ15" s="2"/>
      <c r="AR15" s="2"/>
      <c r="AS15" s="2"/>
      <c r="AT15" s="14" t="s">
        <v>31</v>
      </c>
      <c r="AU15" s="5"/>
      <c r="AV15" s="5"/>
      <c r="AW15" s="14" t="s">
        <v>31</v>
      </c>
      <c r="AX15" s="5"/>
      <c r="AY15" s="5"/>
      <c r="AZ15" s="14" t="s">
        <v>31</v>
      </c>
      <c r="BA15" s="5"/>
      <c r="BB15" s="5"/>
      <c r="BC15" s="5"/>
      <c r="BD15" s="5"/>
      <c r="BE15" s="5"/>
      <c r="BF15" s="14" t="s">
        <v>31</v>
      </c>
      <c r="BG15" s="5"/>
      <c r="BH15" s="5"/>
      <c r="BI15" s="14" t="s">
        <v>31</v>
      </c>
      <c r="BJ15" s="5"/>
      <c r="BK15" s="5"/>
      <c r="BL15" s="5"/>
      <c r="BM15" s="5"/>
      <c r="BN15" s="5"/>
      <c r="BO15" s="2" t="s">
        <v>31</v>
      </c>
      <c r="BP15" s="5"/>
      <c r="BQ15" s="5"/>
      <c r="BR15" s="5"/>
      <c r="BS15" s="5"/>
      <c r="BT15" s="5"/>
      <c r="BU15" s="5"/>
      <c r="BV15" s="5"/>
      <c r="BW15" s="5"/>
      <c r="BX15" s="14" t="s">
        <v>31</v>
      </c>
      <c r="BY15" s="5"/>
      <c r="BZ15" s="5"/>
      <c r="CA15" s="5"/>
      <c r="CB15" s="5"/>
      <c r="CC15" s="5"/>
      <c r="CD15" s="135">
        <f t="shared" si="3"/>
        <v>9</v>
      </c>
      <c r="CE15" s="28" t="s">
        <v>885</v>
      </c>
      <c r="CF15" s="28"/>
      <c r="CG15" s="20" t="s">
        <v>1088</v>
      </c>
      <c r="CH15" s="27" t="str">
        <f>IF(CD15&lt;=0,"0",IF(CD15=1,"1",IF(CD15=2,"2",IF(CD15=3,"3",IF(CD15&gt;=4,"4")))))</f>
        <v>4</v>
      </c>
    </row>
    <row r="16" spans="1:111" ht="50.45" customHeight="1" x14ac:dyDescent="0.25">
      <c r="A16" s="63">
        <f t="shared" si="5"/>
        <v>12</v>
      </c>
      <c r="B16" s="138" t="s">
        <v>640</v>
      </c>
      <c r="C16" s="134"/>
      <c r="D16" s="134"/>
      <c r="E16" s="134"/>
      <c r="F16" s="134"/>
      <c r="G16" s="134" t="s">
        <v>249</v>
      </c>
      <c r="H16" s="134" t="s">
        <v>30</v>
      </c>
      <c r="I16" s="13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">
        <v>31</v>
      </c>
      <c r="Z16" s="2"/>
      <c r="AA16" s="2"/>
      <c r="AB16" s="2"/>
      <c r="AC16" s="2"/>
      <c r="AD16" s="2"/>
      <c r="AE16" s="2"/>
      <c r="AF16" s="2"/>
      <c r="AG16" s="2"/>
      <c r="AH16" s="2" t="s">
        <v>31</v>
      </c>
      <c r="AI16" s="2"/>
      <c r="AJ16" s="2"/>
      <c r="AK16" s="2" t="s">
        <v>31</v>
      </c>
      <c r="AL16" s="2"/>
      <c r="AM16" s="5"/>
      <c r="AN16" s="2" t="s">
        <v>31</v>
      </c>
      <c r="AO16" s="2"/>
      <c r="AP16" s="2"/>
      <c r="AQ16" s="2"/>
      <c r="AR16" s="2"/>
      <c r="AS16" s="2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14" t="s">
        <v>31</v>
      </c>
      <c r="BG16" s="5"/>
      <c r="BH16" s="5"/>
      <c r="BI16" s="5"/>
      <c r="BJ16" s="5"/>
      <c r="BK16" s="5"/>
      <c r="BL16" s="5"/>
      <c r="BM16" s="5"/>
      <c r="BN16" s="5"/>
      <c r="BO16" s="2" t="s">
        <v>31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135">
        <f t="shared" si="3"/>
        <v>6</v>
      </c>
      <c r="CE16" s="28" t="s">
        <v>840</v>
      </c>
      <c r="CF16" s="28" t="s">
        <v>635</v>
      </c>
      <c r="CG16" s="20" t="s">
        <v>1000</v>
      </c>
      <c r="CH16" s="27" t="str">
        <f t="shared" si="4"/>
        <v>4</v>
      </c>
    </row>
    <row r="17" spans="1:86" ht="50.45" customHeight="1" x14ac:dyDescent="0.25">
      <c r="A17" s="63">
        <f t="shared" si="5"/>
        <v>13</v>
      </c>
      <c r="B17" s="299" t="s">
        <v>299</v>
      </c>
      <c r="C17" s="134" t="s">
        <v>300</v>
      </c>
      <c r="D17" s="134">
        <v>9698013222</v>
      </c>
      <c r="E17" s="134" t="s">
        <v>301</v>
      </c>
      <c r="F17" s="134"/>
      <c r="G17" s="134" t="s">
        <v>249</v>
      </c>
      <c r="H17" s="134" t="s">
        <v>30</v>
      </c>
      <c r="I17" s="134">
        <v>700</v>
      </c>
      <c r="J17" s="2"/>
      <c r="K17" s="2"/>
      <c r="L17" s="2"/>
      <c r="M17" s="2"/>
      <c r="N17" s="2"/>
      <c r="O17" s="2"/>
      <c r="P17" s="2"/>
      <c r="Q17" s="2"/>
      <c r="R17" s="2"/>
      <c r="S17" s="2" t="s">
        <v>31</v>
      </c>
      <c r="T17" s="2"/>
      <c r="U17" s="2"/>
      <c r="V17" s="2" t="s">
        <v>31</v>
      </c>
      <c r="W17" s="2"/>
      <c r="X17" s="2"/>
      <c r="Y17" s="2"/>
      <c r="Z17" s="2"/>
      <c r="AA17" s="2"/>
      <c r="AB17" s="2"/>
      <c r="AC17" s="2"/>
      <c r="AD17" s="2"/>
      <c r="AE17" s="2" t="s">
        <v>31</v>
      </c>
      <c r="AF17" s="2"/>
      <c r="AG17" s="2"/>
      <c r="AH17" s="2"/>
      <c r="AI17" s="2"/>
      <c r="AJ17" s="2"/>
      <c r="AK17" s="2"/>
      <c r="AL17" s="2"/>
      <c r="AM17" s="5"/>
      <c r="AN17" s="2" t="s">
        <v>31</v>
      </c>
      <c r="AO17" s="2"/>
      <c r="AP17" s="2"/>
      <c r="AQ17" s="2" t="s">
        <v>31</v>
      </c>
      <c r="AR17" s="2"/>
      <c r="AS17" s="2"/>
      <c r="AT17" s="2" t="s">
        <v>31</v>
      </c>
      <c r="AU17" s="2" t="s">
        <v>31</v>
      </c>
      <c r="AV17" s="5"/>
      <c r="AW17" s="5"/>
      <c r="AX17" s="5"/>
      <c r="AY17" s="5"/>
      <c r="AZ17" s="2"/>
      <c r="BA17" s="5"/>
      <c r="BB17" s="5"/>
      <c r="BC17" s="2" t="s">
        <v>31</v>
      </c>
      <c r="BD17" s="5"/>
      <c r="BE17" s="5"/>
      <c r="BF17" s="14" t="s">
        <v>31</v>
      </c>
      <c r="BG17" s="14" t="s">
        <v>31</v>
      </c>
      <c r="BH17" s="5"/>
      <c r="BI17" s="14" t="s">
        <v>31</v>
      </c>
      <c r="BJ17" s="5"/>
      <c r="BK17" s="5"/>
      <c r="BL17" s="43"/>
      <c r="BM17" s="5"/>
      <c r="BN17" s="5"/>
      <c r="BO17" s="5"/>
      <c r="BP17" s="5"/>
      <c r="BQ17" s="5"/>
      <c r="BR17" s="14" t="s">
        <v>31</v>
      </c>
      <c r="BS17" s="5"/>
      <c r="BT17" s="5"/>
      <c r="BU17" s="14" t="s">
        <v>31</v>
      </c>
      <c r="BV17" s="5"/>
      <c r="BW17" s="5"/>
      <c r="BX17" s="14" t="s">
        <v>31</v>
      </c>
      <c r="BY17" s="5"/>
      <c r="BZ17" s="5"/>
      <c r="CA17" s="5"/>
      <c r="CB17" s="5"/>
      <c r="CC17" s="5"/>
      <c r="CD17" s="135">
        <f t="shared" si="3"/>
        <v>14</v>
      </c>
      <c r="CE17" s="28" t="s">
        <v>954</v>
      </c>
      <c r="CF17" s="28" t="s">
        <v>703</v>
      </c>
      <c r="CG17" s="20" t="s">
        <v>1086</v>
      </c>
      <c r="CH17" s="27" t="str">
        <f t="shared" ref="CH17" si="6">IF(CD17&lt;=0,"0",IF(CD17=1,"1",IF(CD17=2,"2",IF(CD17=3,"3",IF(CD17&gt;=4,"4")))))</f>
        <v>4</v>
      </c>
    </row>
    <row r="51" spans="1:86" ht="50.45" customHeight="1" x14ac:dyDescent="0.25">
      <c r="A51" s="63">
        <f t="shared" si="5"/>
        <v>47</v>
      </c>
      <c r="B51" s="214" t="s">
        <v>571</v>
      </c>
      <c r="C51" s="134" t="s">
        <v>572</v>
      </c>
      <c r="D51" s="134"/>
      <c r="E51" s="134"/>
      <c r="F51" s="134"/>
      <c r="G51" s="134" t="s">
        <v>152</v>
      </c>
      <c r="H51" s="134" t="s">
        <v>30</v>
      </c>
      <c r="I51" s="134">
        <v>800</v>
      </c>
      <c r="J51" s="2"/>
      <c r="K51" s="2"/>
      <c r="L51" s="2"/>
      <c r="M51" s="2" t="s">
        <v>31</v>
      </c>
      <c r="N51" s="2"/>
      <c r="O51" s="2"/>
      <c r="P51" s="2" t="s">
        <v>31</v>
      </c>
      <c r="Q51" s="2"/>
      <c r="R51" s="2"/>
      <c r="S51" s="2" t="s">
        <v>31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135">
        <f>COUNTA(J51:CC51)</f>
        <v>3</v>
      </c>
      <c r="CE51" s="28"/>
      <c r="CF51" s="28" t="s">
        <v>612</v>
      </c>
      <c r="CG51" s="20" t="s">
        <v>611</v>
      </c>
      <c r="CH51" s="27" t="str">
        <f>IF(CD51&lt;=0,"0",IF(CD51=1,"1",IF(CD51=2,"2",IF(CD51=3,"3",IF(CD51&gt;=4,"4")))))</f>
        <v>3</v>
      </c>
    </row>
    <row r="52" spans="1:86" ht="50.45" customHeight="1" x14ac:dyDescent="0.25">
      <c r="A52" s="63">
        <f t="shared" si="5"/>
        <v>48</v>
      </c>
      <c r="B52" s="214" t="s">
        <v>712</v>
      </c>
      <c r="C52" s="139" t="s">
        <v>880</v>
      </c>
      <c r="D52" s="38"/>
      <c r="E52" s="134">
        <v>650</v>
      </c>
      <c r="F52" s="134"/>
      <c r="G52" s="134" t="s">
        <v>249</v>
      </c>
      <c r="H52" s="134" t="s">
        <v>30</v>
      </c>
      <c r="I52" s="134">
        <v>650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5"/>
      <c r="AN52" s="2"/>
      <c r="AO52" s="2"/>
      <c r="AP52" s="2"/>
      <c r="AQ52" s="2"/>
      <c r="AR52" s="2"/>
      <c r="AS52" s="2"/>
      <c r="AT52" s="14" t="s">
        <v>31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135">
        <f>COUNTA(J52:CC52)</f>
        <v>1</v>
      </c>
      <c r="CE52" s="28"/>
      <c r="CF52" s="28"/>
      <c r="CG52" s="20" t="s">
        <v>881</v>
      </c>
      <c r="CH52" s="27" t="str">
        <f>IF(CD52&lt;=0,"0",IF(CD52=1,"1",IF(CD52=2,"2",IF(CD52=3,"3",IF(CD52&gt;=4,"4")))))</f>
        <v>1</v>
      </c>
    </row>
    <row r="53" spans="1:86" ht="50.45" customHeight="1" x14ac:dyDescent="0.25">
      <c r="A53" s="63">
        <f t="shared" si="5"/>
        <v>49</v>
      </c>
      <c r="B53" s="214" t="s">
        <v>630</v>
      </c>
      <c r="C53" s="134"/>
      <c r="D53" s="134"/>
      <c r="E53" s="134"/>
      <c r="F53" s="134"/>
      <c r="G53" s="134" t="s">
        <v>152</v>
      </c>
      <c r="H53" s="134" t="s">
        <v>30</v>
      </c>
      <c r="I53" s="13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31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135">
        <f>COUNTA(J53:CC53)</f>
        <v>1</v>
      </c>
      <c r="CE53" s="28"/>
      <c r="CF53" s="28" t="s">
        <v>629</v>
      </c>
      <c r="CG53" s="20" t="s">
        <v>631</v>
      </c>
      <c r="CH53" s="27" t="str">
        <f>IF(CD53&lt;=0,"0",IF(CD53=1,"1",IF(CD53=2,"2",IF(CD53=3,"3",IF(CD53&gt;=4,"4")))))</f>
        <v>1</v>
      </c>
    </row>
    <row r="54" spans="1:86" ht="50.45" customHeight="1" x14ac:dyDescent="0.25">
      <c r="A54" s="63">
        <f t="shared" si="5"/>
        <v>50</v>
      </c>
      <c r="B54" s="214" t="s">
        <v>712</v>
      </c>
      <c r="C54" s="38"/>
      <c r="D54" s="38"/>
      <c r="E54" s="134">
        <v>650</v>
      </c>
      <c r="F54" s="134"/>
      <c r="G54" s="134" t="s">
        <v>249</v>
      </c>
      <c r="H54" s="134" t="s">
        <v>30</v>
      </c>
      <c r="I54" s="13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31</v>
      </c>
      <c r="AF54" s="2"/>
      <c r="AG54" s="2"/>
      <c r="AH54" s="2"/>
      <c r="AI54" s="2"/>
      <c r="AJ54" s="2"/>
      <c r="AK54" s="2"/>
      <c r="AL54" s="2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135">
        <f>COUNTA(J54:CC54)</f>
        <v>1</v>
      </c>
      <c r="CE54" s="28"/>
      <c r="CF54" s="28" t="s">
        <v>714</v>
      </c>
      <c r="CG54" s="20" t="s">
        <v>713</v>
      </c>
      <c r="CH54" s="27" t="str">
        <f>IF(CD54&lt;=0,"0",IF(CD54=1,"1",IF(CD54=2,"2",IF(CD54=3,"3",IF(CD54&gt;=4,"4")))))</f>
        <v>1</v>
      </c>
    </row>
    <row r="55" spans="1:86" ht="50.45" customHeight="1" x14ac:dyDescent="0.25">
      <c r="A55" s="63">
        <f t="shared" si="5"/>
        <v>51</v>
      </c>
      <c r="B55" s="214" t="s">
        <v>636</v>
      </c>
      <c r="C55" s="134"/>
      <c r="D55" s="134"/>
      <c r="E55" s="134"/>
      <c r="F55" s="134"/>
      <c r="G55" s="134" t="s">
        <v>152</v>
      </c>
      <c r="H55" s="134" t="s">
        <v>30</v>
      </c>
      <c r="I55" s="13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31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135">
        <f>COUNTA(J55:CC55)</f>
        <v>1</v>
      </c>
      <c r="CE55" s="28"/>
      <c r="CF55" s="28" t="s">
        <v>635</v>
      </c>
      <c r="CG55" s="20" t="s">
        <v>637</v>
      </c>
      <c r="CH55" s="27" t="str">
        <f>IF(CD55&lt;=0,"0",IF(CD55=1,"1",IF(CD55=2,"2",IF(CD55=3,"3",IF(CD55&gt;=4,"4")))))</f>
        <v>1</v>
      </c>
    </row>
    <row r="57" spans="1:86" ht="50.45" customHeight="1" x14ac:dyDescent="0.25">
      <c r="A57" s="63">
        <f t="shared" si="0"/>
        <v>54</v>
      </c>
      <c r="B57" s="214" t="s">
        <v>624</v>
      </c>
      <c r="C57" s="134"/>
      <c r="D57" s="134"/>
      <c r="E57" s="134"/>
      <c r="F57" s="134"/>
      <c r="G57" s="134" t="s">
        <v>152</v>
      </c>
      <c r="H57" s="134" t="s">
        <v>15</v>
      </c>
      <c r="I57" s="134"/>
      <c r="J57" s="38"/>
      <c r="K57" s="99"/>
      <c r="L57" s="99"/>
      <c r="M57" s="99"/>
      <c r="N57" s="99"/>
      <c r="O57" s="99"/>
      <c r="P57" s="2"/>
      <c r="Q57" s="38"/>
      <c r="R57" s="38"/>
      <c r="S57" s="2"/>
      <c r="T57" s="38"/>
      <c r="U57" s="38"/>
      <c r="V57" s="14" t="s">
        <v>31</v>
      </c>
      <c r="W57" s="38"/>
      <c r="X57" s="38"/>
      <c r="Y57" s="2"/>
      <c r="Z57" s="2"/>
      <c r="AA57" s="2"/>
      <c r="AB57" s="2"/>
      <c r="AC57" s="2"/>
      <c r="AD57" s="2"/>
      <c r="AE57" s="2"/>
      <c r="AF57" s="2"/>
      <c r="AG57" s="2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135">
        <f>COUNTA(J57:CC57)</f>
        <v>1</v>
      </c>
      <c r="CE57" s="28"/>
      <c r="CF57" s="28"/>
      <c r="CG57" s="20" t="s">
        <v>625</v>
      </c>
      <c r="CH57" s="27" t="str">
        <f>IF(CD57&lt;=0,"0",IF(CD57=1,"1",IF(CD57=2,"2",IF(CD57=3,"3",IF(CD57&gt;=4,"4")))))</f>
        <v>1</v>
      </c>
    </row>
    <row r="58" spans="1:86" ht="50.45" customHeight="1" x14ac:dyDescent="0.25">
      <c r="A58" s="63">
        <f t="shared" si="0"/>
        <v>55</v>
      </c>
      <c r="B58" s="214" t="s">
        <v>633</v>
      </c>
      <c r="C58" s="134"/>
      <c r="D58" s="134"/>
      <c r="E58" s="134"/>
      <c r="F58" s="134"/>
      <c r="G58" s="134" t="s">
        <v>152</v>
      </c>
      <c r="H58" s="134" t="s">
        <v>15</v>
      </c>
      <c r="I58" s="134"/>
      <c r="J58" s="38"/>
      <c r="K58" s="99"/>
      <c r="L58" s="99"/>
      <c r="M58" s="99"/>
      <c r="N58" s="99"/>
      <c r="O58" s="99"/>
      <c r="P58" s="2"/>
      <c r="Q58" s="38"/>
      <c r="R58" s="38"/>
      <c r="S58" s="2"/>
      <c r="T58" s="38"/>
      <c r="U58" s="38"/>
      <c r="V58" s="14" t="s">
        <v>31</v>
      </c>
      <c r="W58" s="38"/>
      <c r="X58" s="38"/>
      <c r="Y58" s="2"/>
      <c r="Z58" s="2"/>
      <c r="AA58" s="2" t="s">
        <v>31</v>
      </c>
      <c r="AB58" s="2"/>
      <c r="AC58" s="2"/>
      <c r="AD58" s="2"/>
      <c r="AE58" s="2"/>
      <c r="AF58" s="2"/>
      <c r="AG58" s="2"/>
      <c r="AH58" s="5"/>
      <c r="AI58" s="5"/>
      <c r="AJ58" s="5"/>
      <c r="AK58" s="5" t="s">
        <v>31</v>
      </c>
      <c r="AL58" s="5"/>
      <c r="AM58" s="5"/>
      <c r="AN58" s="14" t="s">
        <v>31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135">
        <f>COUNTA(J58:CC58)</f>
        <v>4</v>
      </c>
      <c r="CE58" s="28" t="s">
        <v>842</v>
      </c>
      <c r="CF58" s="28" t="s">
        <v>647</v>
      </c>
      <c r="CG58" s="20" t="s">
        <v>843</v>
      </c>
      <c r="CH58" s="27" t="str">
        <f>IF(CD58&lt;=0,"0",IF(CD58=1,"1",IF(CD58=2,"2",IF(CD58=3,"3",IF(CD58&gt;=4,"4")))))</f>
        <v>4</v>
      </c>
    </row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9"/>
  <sheetViews>
    <sheetView zoomScale="55" zoomScaleNormal="55" workbookViewId="0">
      <selection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19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615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63">
        <v>1</v>
      </c>
      <c r="B4" s="138" t="s">
        <v>330</v>
      </c>
      <c r="C4" s="134" t="s">
        <v>331</v>
      </c>
      <c r="D4" s="134">
        <v>8754576209</v>
      </c>
      <c r="E4" s="134" t="s">
        <v>332</v>
      </c>
      <c r="F4" s="134"/>
      <c r="G4" s="134" t="s">
        <v>333</v>
      </c>
      <c r="H4" s="134" t="s">
        <v>15</v>
      </c>
      <c r="I4" s="134">
        <v>1060</v>
      </c>
      <c r="J4" s="4"/>
      <c r="K4" s="31"/>
      <c r="L4" s="31"/>
      <c r="M4" s="31"/>
      <c r="N4" s="31"/>
      <c r="O4" s="31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2" t="s">
        <v>31</v>
      </c>
      <c r="AC4" s="2"/>
      <c r="AD4" s="38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2" t="s">
        <v>31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135">
        <f>COUNTA(J4:CC4)</f>
        <v>2</v>
      </c>
      <c r="CE4" s="28"/>
      <c r="CF4" s="28" t="s">
        <v>689</v>
      </c>
      <c r="CG4" s="20" t="s">
        <v>911</v>
      </c>
      <c r="CH4" s="27" t="str">
        <f t="shared" ref="CH4:CH7" si="0">IF(CD4&lt;=0,"0",IF(CD4=1,"1",IF(CD4=2,"2",IF(CD4=3,"3",IF(CD4&gt;=4,"4")))))</f>
        <v>2</v>
      </c>
    </row>
    <row r="5" spans="1:111" ht="50.45" customHeight="1" x14ac:dyDescent="0.25">
      <c r="A5" s="63">
        <v>2</v>
      </c>
      <c r="B5" s="138" t="s">
        <v>393</v>
      </c>
      <c r="C5" s="134" t="s">
        <v>394</v>
      </c>
      <c r="D5" s="134">
        <v>9444984472</v>
      </c>
      <c r="E5" s="134" t="s">
        <v>395</v>
      </c>
      <c r="F5" s="134"/>
      <c r="G5" s="134" t="s">
        <v>333</v>
      </c>
      <c r="H5" s="134" t="s">
        <v>15</v>
      </c>
      <c r="I5" s="134">
        <v>1174</v>
      </c>
      <c r="J5" s="4"/>
      <c r="K5" s="31"/>
      <c r="L5" s="31"/>
      <c r="M5" s="32"/>
      <c r="N5" s="31"/>
      <c r="O5" s="31"/>
      <c r="P5" s="2"/>
      <c r="Q5" s="38"/>
      <c r="R5" s="38"/>
      <c r="S5" s="40"/>
      <c r="T5" s="38"/>
      <c r="U5" s="38"/>
      <c r="V5" s="2"/>
      <c r="W5" s="38"/>
      <c r="X5" s="38"/>
      <c r="Y5" s="2"/>
      <c r="Z5" s="38"/>
      <c r="AA5" s="38"/>
      <c r="AB5" s="2" t="s">
        <v>31</v>
      </c>
      <c r="AC5" s="38"/>
      <c r="AD5" s="38"/>
      <c r="AE5" s="5"/>
      <c r="AF5" s="5"/>
      <c r="AG5" s="5"/>
      <c r="AH5" s="16"/>
      <c r="AI5" s="5"/>
      <c r="AJ5" s="5"/>
      <c r="AK5" s="16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2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2"/>
      <c r="BP5" s="5"/>
      <c r="BQ5" s="5"/>
      <c r="BR5" s="5"/>
      <c r="BS5" s="5"/>
      <c r="BT5" s="5"/>
      <c r="BU5" s="14"/>
      <c r="BV5" s="5"/>
      <c r="BW5" s="5"/>
      <c r="BX5" s="2"/>
      <c r="BY5" s="5"/>
      <c r="BZ5" s="5"/>
      <c r="CA5" s="5"/>
      <c r="CB5" s="5"/>
      <c r="CC5" s="5"/>
      <c r="CD5" s="135">
        <f>COUNTA(J5:CC5)</f>
        <v>1</v>
      </c>
      <c r="CE5" s="28" t="s">
        <v>686</v>
      </c>
      <c r="CF5" s="28"/>
      <c r="CG5" s="20" t="s">
        <v>687</v>
      </c>
      <c r="CH5" s="27" t="str">
        <f t="shared" si="0"/>
        <v>1</v>
      </c>
    </row>
    <row r="6" spans="1:111" ht="9" customHeight="1" x14ac:dyDescent="0.25">
      <c r="A6" s="151"/>
      <c r="B6" s="152"/>
      <c r="C6" s="153"/>
      <c r="D6" s="153"/>
      <c r="E6" s="153"/>
      <c r="F6" s="153"/>
      <c r="G6" s="153"/>
      <c r="H6" s="153"/>
      <c r="I6" s="153"/>
      <c r="J6" s="164"/>
      <c r="K6" s="163"/>
      <c r="L6" s="163"/>
      <c r="M6" s="165"/>
      <c r="N6" s="163"/>
      <c r="O6" s="163"/>
      <c r="P6" s="155"/>
      <c r="Q6" s="149"/>
      <c r="R6" s="149"/>
      <c r="S6" s="157"/>
      <c r="T6" s="149"/>
      <c r="U6" s="149"/>
      <c r="V6" s="155"/>
      <c r="W6" s="149"/>
      <c r="X6" s="149"/>
      <c r="Y6" s="155"/>
      <c r="Z6" s="149"/>
      <c r="AA6" s="149"/>
      <c r="AB6" s="155"/>
      <c r="AC6" s="149"/>
      <c r="AD6" s="149"/>
      <c r="AE6" s="158"/>
      <c r="AF6" s="158"/>
      <c r="AG6" s="158"/>
      <c r="AH6" s="166"/>
      <c r="AI6" s="158"/>
      <c r="AJ6" s="158"/>
      <c r="AK6" s="166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  <c r="BK6" s="158"/>
      <c r="BL6" s="158"/>
      <c r="BM6" s="158"/>
      <c r="BN6" s="158"/>
      <c r="BO6" s="155"/>
      <c r="BP6" s="158"/>
      <c r="BQ6" s="158"/>
      <c r="BR6" s="158"/>
      <c r="BS6" s="158"/>
      <c r="BT6" s="158"/>
      <c r="BU6" s="156"/>
      <c r="BV6" s="158"/>
      <c r="BW6" s="158"/>
      <c r="BX6" s="155"/>
      <c r="BY6" s="158"/>
      <c r="BZ6" s="158"/>
      <c r="CA6" s="158"/>
      <c r="CB6" s="158"/>
      <c r="CC6" s="158"/>
      <c r="CD6" s="159"/>
      <c r="CE6" s="160"/>
      <c r="CF6" s="160"/>
      <c r="CG6" s="88"/>
      <c r="CH6" s="161"/>
    </row>
    <row r="7" spans="1:111" ht="50.45" customHeight="1" x14ac:dyDescent="0.25">
      <c r="A7" s="63">
        <v>3</v>
      </c>
      <c r="B7" s="138" t="s">
        <v>365</v>
      </c>
      <c r="C7" s="134" t="s">
        <v>366</v>
      </c>
      <c r="D7" s="134">
        <v>9443746803</v>
      </c>
      <c r="E7" s="134"/>
      <c r="F7" s="134"/>
      <c r="G7" s="134" t="s">
        <v>333</v>
      </c>
      <c r="H7" s="134" t="s">
        <v>30</v>
      </c>
      <c r="I7" s="134">
        <v>3600</v>
      </c>
      <c r="J7" s="4"/>
      <c r="K7" s="31"/>
      <c r="L7" s="31"/>
      <c r="M7" s="31"/>
      <c r="N7" s="31"/>
      <c r="O7" s="31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2" t="s">
        <v>31</v>
      </c>
      <c r="AC7" s="38"/>
      <c r="AD7" s="3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2" t="s">
        <v>31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135">
        <f>COUNTA(J7:CC7)</f>
        <v>2</v>
      </c>
      <c r="CE7" s="28" t="s">
        <v>907</v>
      </c>
      <c r="CF7" s="28" t="s">
        <v>690</v>
      </c>
      <c r="CG7" s="20" t="s">
        <v>908</v>
      </c>
      <c r="CH7" s="27" t="str">
        <f t="shared" si="0"/>
        <v>2</v>
      </c>
    </row>
    <row r="8" spans="1:111" ht="50.45" customHeight="1" x14ac:dyDescent="0.25">
      <c r="A8" s="63">
        <v>4</v>
      </c>
      <c r="B8" s="138" t="s">
        <v>344</v>
      </c>
      <c r="C8" s="134" t="s">
        <v>345</v>
      </c>
      <c r="D8" s="134" t="s">
        <v>346</v>
      </c>
      <c r="E8" s="134" t="s">
        <v>347</v>
      </c>
      <c r="F8" s="134"/>
      <c r="G8" s="134" t="s">
        <v>333</v>
      </c>
      <c r="H8" s="134" t="s">
        <v>30</v>
      </c>
      <c r="I8" s="134">
        <v>1800</v>
      </c>
      <c r="J8" s="4"/>
      <c r="K8" s="31"/>
      <c r="L8" s="31"/>
      <c r="M8" s="31"/>
      <c r="N8" s="31"/>
      <c r="O8" s="31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2" t="s">
        <v>31</v>
      </c>
      <c r="AC8" s="38"/>
      <c r="AD8" s="38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2" t="s">
        <v>31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35">
        <f t="shared" ref="CD8:CD9" si="1">COUNTA(J8:CC8)</f>
        <v>2</v>
      </c>
      <c r="CE8" s="28" t="s">
        <v>909</v>
      </c>
      <c r="CF8" s="28" t="s">
        <v>690</v>
      </c>
      <c r="CG8" s="20" t="s">
        <v>910</v>
      </c>
      <c r="CH8" s="27" t="str">
        <f t="shared" ref="CH8" si="2">IF(CD8&lt;=0,"0",IF(CD8=1,"1",IF(CD8=2,"2",IF(CD8=3,"3",IF(CD8&gt;=4,"4")))))</f>
        <v>2</v>
      </c>
    </row>
    <row r="9" spans="1:111" ht="50.45" customHeight="1" x14ac:dyDescent="0.25">
      <c r="A9" s="63">
        <v>5</v>
      </c>
      <c r="B9" s="138" t="s">
        <v>340</v>
      </c>
      <c r="C9" s="134" t="s">
        <v>341</v>
      </c>
      <c r="D9" s="134" t="s">
        <v>342</v>
      </c>
      <c r="E9" s="134" t="s">
        <v>343</v>
      </c>
      <c r="F9" s="134"/>
      <c r="G9" s="134" t="s">
        <v>333</v>
      </c>
      <c r="H9" s="134" t="s">
        <v>30</v>
      </c>
      <c r="I9" s="134">
        <v>2500</v>
      </c>
      <c r="J9" s="4"/>
      <c r="K9" s="31"/>
      <c r="L9" s="31"/>
      <c r="M9" s="31"/>
      <c r="N9" s="31"/>
      <c r="O9" s="31"/>
      <c r="P9" s="38"/>
      <c r="Q9" s="38"/>
      <c r="R9" s="38"/>
      <c r="S9" s="40"/>
      <c r="T9" s="38"/>
      <c r="U9" s="38"/>
      <c r="V9" s="38"/>
      <c r="W9" s="38"/>
      <c r="X9" s="38"/>
      <c r="Y9" s="38"/>
      <c r="Z9" s="38"/>
      <c r="AA9" s="38"/>
      <c r="AB9" s="2" t="s">
        <v>31</v>
      </c>
      <c r="AC9" s="38"/>
      <c r="AD9" s="38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135">
        <f t="shared" si="1"/>
        <v>1</v>
      </c>
      <c r="CE9" s="28" t="s">
        <v>688</v>
      </c>
      <c r="CF9" s="28"/>
      <c r="CG9" s="20" t="s">
        <v>687</v>
      </c>
      <c r="CH9" s="27" t="str">
        <f t="shared" ref="CH9" si="3">IF(CD9&lt;=0,"0",IF(CD9=1,"1",IF(CD9=2,"2",IF(CD9=3,"3",IF(CD9&gt;=4,"4")))))</f>
        <v>1</v>
      </c>
    </row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6"/>
  <sheetViews>
    <sheetView zoomScale="55" zoomScaleNormal="55" workbookViewId="0">
      <selection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0.85546875" style="21" customWidth="1"/>
    <col min="4" max="4" width="16" style="21" hidden="1" customWidth="1"/>
    <col min="5" max="5" width="25.7109375" style="21" hidden="1" customWidth="1"/>
    <col min="6" max="6" width="18.28515625" style="21" hidden="1" customWidth="1"/>
    <col min="7" max="7" width="18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1" style="6" customWidth="1"/>
    <col min="84" max="84" width="20.28515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613</v>
      </c>
      <c r="B1" s="398"/>
      <c r="C1" s="398"/>
      <c r="D1" s="406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27" t="s">
        <v>2</v>
      </c>
      <c r="D2" s="408" t="s">
        <v>56</v>
      </c>
      <c r="E2" s="410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407"/>
      <c r="B3" s="393"/>
      <c r="C3" s="79" t="s">
        <v>11</v>
      </c>
      <c r="D3" s="409"/>
      <c r="E3" s="411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38.450000000000003" customHeight="1" x14ac:dyDescent="0.25">
      <c r="A4" s="97">
        <f>ROW()-3</f>
        <v>1</v>
      </c>
      <c r="B4" s="138" t="s">
        <v>391</v>
      </c>
      <c r="C4" s="196" t="s">
        <v>392</v>
      </c>
      <c r="D4" s="303"/>
      <c r="F4" s="196"/>
      <c r="G4" s="134" t="s">
        <v>385</v>
      </c>
      <c r="H4" s="134" t="s">
        <v>30</v>
      </c>
      <c r="I4" s="134">
        <v>800</v>
      </c>
      <c r="J4" s="2"/>
      <c r="K4" s="32"/>
      <c r="L4" s="32"/>
      <c r="M4" s="2"/>
      <c r="N4" s="2"/>
      <c r="O4" s="32"/>
      <c r="P4" s="40"/>
      <c r="Q4" s="40"/>
      <c r="R4" s="40"/>
      <c r="S4" s="40"/>
      <c r="T4" s="40"/>
      <c r="U4" s="40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6"/>
      <c r="AI4" s="16"/>
      <c r="AJ4" s="2"/>
      <c r="AK4" s="16"/>
      <c r="AL4" s="16"/>
      <c r="AM4" s="2"/>
      <c r="AN4" s="2" t="s">
        <v>31</v>
      </c>
      <c r="AO4" s="2"/>
      <c r="AP4" s="2"/>
      <c r="AQ4" s="2"/>
      <c r="AR4" s="16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s">
        <v>31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135">
        <f t="shared" ref="CD4:CD6" si="0">COUNTA(J4:CC4)</f>
        <v>2</v>
      </c>
      <c r="CE4" s="28" t="s">
        <v>832</v>
      </c>
      <c r="CF4" s="28" t="s">
        <v>833</v>
      </c>
      <c r="CG4" s="20" t="s">
        <v>946</v>
      </c>
      <c r="CH4" s="27" t="str">
        <f t="shared" ref="CH4:CH6" si="1">IF(CD4&lt;=0,"0",IF(CD4=1,"1",IF(CD4=2,"2",IF(CD4=3,"3",IF(CD4&gt;=4,"4")))))</f>
        <v>2</v>
      </c>
    </row>
    <row r="5" spans="1:111" ht="38.450000000000003" customHeight="1" x14ac:dyDescent="0.25">
      <c r="A5" s="97">
        <f t="shared" ref="A5:A6" si="2">ROW()-3</f>
        <v>2</v>
      </c>
      <c r="B5" s="138" t="s">
        <v>412</v>
      </c>
      <c r="C5" s="134" t="s">
        <v>834</v>
      </c>
      <c r="D5" s="183"/>
      <c r="E5" s="183"/>
      <c r="F5" s="134"/>
      <c r="G5" s="134" t="s">
        <v>385</v>
      </c>
      <c r="H5" s="134" t="s">
        <v>30</v>
      </c>
      <c r="I5" s="134">
        <v>550</v>
      </c>
      <c r="J5" s="2"/>
      <c r="K5" s="32"/>
      <c r="L5" s="32"/>
      <c r="M5" s="2"/>
      <c r="N5" s="2"/>
      <c r="O5" s="32"/>
      <c r="P5" s="40"/>
      <c r="Q5" s="40"/>
      <c r="R5" s="40"/>
      <c r="S5" s="40"/>
      <c r="T5" s="40"/>
      <c r="U5" s="40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6"/>
      <c r="AI5" s="16"/>
      <c r="AJ5" s="2"/>
      <c r="AK5" s="16"/>
      <c r="AL5" s="16"/>
      <c r="AM5" s="2"/>
      <c r="AN5" s="2" t="s">
        <v>31</v>
      </c>
      <c r="AO5" s="2"/>
      <c r="AP5" s="2"/>
      <c r="AQ5" s="2"/>
      <c r="AR5" s="16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35">
        <f t="shared" si="0"/>
        <v>2</v>
      </c>
      <c r="CE5" s="28" t="s">
        <v>835</v>
      </c>
      <c r="CF5" s="28"/>
      <c r="CG5" s="20" t="s">
        <v>947</v>
      </c>
      <c r="CH5" s="27" t="str">
        <f t="shared" si="1"/>
        <v>2</v>
      </c>
    </row>
    <row r="6" spans="1:111" ht="38.450000000000003" customHeight="1" x14ac:dyDescent="0.25">
      <c r="A6" s="97">
        <f t="shared" si="2"/>
        <v>3</v>
      </c>
      <c r="B6" s="138" t="s">
        <v>383</v>
      </c>
      <c r="C6" s="134" t="s">
        <v>384</v>
      </c>
      <c r="D6" s="183"/>
      <c r="E6" s="183"/>
      <c r="F6" s="134"/>
      <c r="G6" s="134" t="s">
        <v>385</v>
      </c>
      <c r="H6" s="134" t="s">
        <v>30</v>
      </c>
      <c r="I6" s="134">
        <v>750</v>
      </c>
      <c r="J6" s="2"/>
      <c r="K6" s="32"/>
      <c r="L6" s="32"/>
      <c r="M6" s="2"/>
      <c r="N6" s="2"/>
      <c r="O6" s="32"/>
      <c r="P6" s="40"/>
      <c r="Q6" s="40"/>
      <c r="R6" s="40"/>
      <c r="S6" s="40"/>
      <c r="T6" s="40"/>
      <c r="U6" s="4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6"/>
      <c r="AI6" s="16"/>
      <c r="AJ6" s="2"/>
      <c r="AK6" s="16"/>
      <c r="AL6" s="16"/>
      <c r="AM6" s="2"/>
      <c r="AN6" s="2" t="s">
        <v>31</v>
      </c>
      <c r="AO6" s="2"/>
      <c r="AP6" s="2"/>
      <c r="AQ6" s="2"/>
      <c r="AR6" s="16"/>
      <c r="AS6" s="2"/>
      <c r="AT6" s="2"/>
      <c r="AU6" s="2"/>
      <c r="AV6" s="2"/>
      <c r="AW6" s="2"/>
      <c r="AX6" s="2"/>
      <c r="AY6" s="2"/>
      <c r="AZ6" s="2"/>
      <c r="BA6" s="2"/>
      <c r="BB6" s="2"/>
      <c r="BC6" s="2" t="s">
        <v>31</v>
      </c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35">
        <f t="shared" si="0"/>
        <v>2</v>
      </c>
      <c r="CE6" s="28" t="s">
        <v>944</v>
      </c>
      <c r="CF6" s="28" t="s">
        <v>836</v>
      </c>
      <c r="CG6" s="20" t="s">
        <v>945</v>
      </c>
      <c r="CH6" s="27" t="str">
        <f t="shared" si="1"/>
        <v>2</v>
      </c>
    </row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G87"/>
  <sheetViews>
    <sheetView zoomScale="70" zoomScaleNormal="70" workbookViewId="0">
      <selection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16.71093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617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63">
        <f>ROW()-3</f>
        <v>1</v>
      </c>
      <c r="B4" s="138" t="s">
        <v>521</v>
      </c>
      <c r="C4" s="134" t="s">
        <v>522</v>
      </c>
      <c r="D4" s="134">
        <v>737374488</v>
      </c>
      <c r="E4" s="134"/>
      <c r="F4" s="134"/>
      <c r="G4" s="134" t="s">
        <v>242</v>
      </c>
      <c r="H4" s="134" t="s">
        <v>15</v>
      </c>
      <c r="I4" s="134">
        <v>700</v>
      </c>
      <c r="J4" s="38"/>
      <c r="K4" s="99"/>
      <c r="L4" s="99"/>
      <c r="M4" s="99"/>
      <c r="N4" s="99"/>
      <c r="O4" s="99"/>
      <c r="P4" s="2" t="s">
        <v>31</v>
      </c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5"/>
      <c r="AF4" s="5"/>
      <c r="AG4" s="5"/>
      <c r="AH4" s="5"/>
      <c r="AI4" s="5"/>
      <c r="AJ4" s="5"/>
      <c r="AK4" s="5"/>
      <c r="AL4" s="5"/>
      <c r="AM4" s="5"/>
      <c r="AN4" s="14" t="s">
        <v>31</v>
      </c>
      <c r="AO4" s="5"/>
      <c r="AP4" s="5"/>
      <c r="AQ4" s="5"/>
      <c r="AR4" s="5"/>
      <c r="AS4" s="5"/>
      <c r="AT4" s="16" t="s">
        <v>31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135">
        <f t="shared" ref="CD4:CD9" si="0">COUNTA(J4:CC4)</f>
        <v>3</v>
      </c>
      <c r="CE4" s="28"/>
      <c r="CF4" s="28"/>
      <c r="CG4" s="20" t="s">
        <v>875</v>
      </c>
      <c r="CH4" s="27" t="str">
        <f t="shared" ref="CH4:CH5" si="1">IF(CD4&lt;=0,"0",IF(CD4=1,"1",IF(CD4=2,"2",IF(CD4=3,"3",IF(CD4&gt;=4,"4")))))</f>
        <v>3</v>
      </c>
    </row>
    <row r="5" spans="1:111" ht="50.45" customHeight="1" x14ac:dyDescent="0.25">
      <c r="A5" s="63">
        <f t="shared" ref="A5:A62" si="2">ROW()-3</f>
        <v>2</v>
      </c>
      <c r="B5" s="299" t="s">
        <v>239</v>
      </c>
      <c r="C5" s="134" t="s">
        <v>240</v>
      </c>
      <c r="D5" s="134"/>
      <c r="E5" s="134"/>
      <c r="F5" s="134" t="s">
        <v>241</v>
      </c>
      <c r="G5" s="134" t="s">
        <v>242</v>
      </c>
      <c r="H5" s="134" t="s">
        <v>15</v>
      </c>
      <c r="I5" s="134">
        <v>1848</v>
      </c>
      <c r="J5" s="2"/>
      <c r="K5" s="30"/>
      <c r="L5" s="30"/>
      <c r="M5" s="30"/>
      <c r="N5" s="2"/>
      <c r="O5" s="30"/>
      <c r="P5" s="2"/>
      <c r="Q5" s="2"/>
      <c r="R5" s="2"/>
      <c r="S5" s="40"/>
      <c r="T5" s="40"/>
      <c r="U5" s="40"/>
      <c r="V5" s="2" t="s">
        <v>31</v>
      </c>
      <c r="W5" s="2"/>
      <c r="X5" s="2"/>
      <c r="Y5" s="2"/>
      <c r="Z5" s="2"/>
      <c r="AA5" s="2"/>
      <c r="AB5" s="14"/>
      <c r="AC5" s="5"/>
      <c r="AD5" s="5"/>
      <c r="AE5" s="14"/>
      <c r="AF5" s="5"/>
      <c r="AG5" s="2"/>
      <c r="AH5" s="16"/>
      <c r="AI5" s="16"/>
      <c r="AJ5" s="2"/>
      <c r="AK5" s="16"/>
      <c r="AL5" s="2"/>
      <c r="AM5" s="2"/>
      <c r="AN5" s="2"/>
      <c r="AO5" s="2"/>
      <c r="AP5" s="2"/>
      <c r="AQ5" s="2"/>
      <c r="AR5" s="2"/>
      <c r="AS5" s="2"/>
      <c r="AT5" s="16"/>
      <c r="AU5" s="2"/>
      <c r="AV5" s="2"/>
      <c r="AW5" s="16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35">
        <f t="shared" si="0"/>
        <v>1</v>
      </c>
      <c r="CE5" s="28"/>
      <c r="CF5" s="28" t="s">
        <v>622</v>
      </c>
      <c r="CG5" s="20" t="s">
        <v>664</v>
      </c>
      <c r="CH5" s="27" t="str">
        <f t="shared" si="1"/>
        <v>1</v>
      </c>
    </row>
    <row r="6" spans="1:111" ht="50.45" customHeight="1" x14ac:dyDescent="0.25">
      <c r="A6" s="63">
        <f t="shared" si="2"/>
        <v>3</v>
      </c>
      <c r="B6" s="138" t="s">
        <v>404</v>
      </c>
      <c r="C6" s="134" t="s">
        <v>405</v>
      </c>
      <c r="D6" s="134" t="s">
        <v>406</v>
      </c>
      <c r="E6" s="134" t="s">
        <v>407</v>
      </c>
      <c r="F6" s="134"/>
      <c r="G6" s="134" t="s">
        <v>242</v>
      </c>
      <c r="H6" s="134" t="s">
        <v>15</v>
      </c>
      <c r="I6" s="134">
        <v>80</v>
      </c>
      <c r="J6" s="2"/>
      <c r="K6" s="30"/>
      <c r="L6" s="30"/>
      <c r="M6" s="30"/>
      <c r="N6" s="16"/>
      <c r="O6" s="30"/>
      <c r="P6" s="2" t="s">
        <v>31</v>
      </c>
      <c r="Q6" s="2"/>
      <c r="R6" s="2"/>
      <c r="S6" s="40" t="s">
        <v>31</v>
      </c>
      <c r="T6" s="40"/>
      <c r="U6" s="40"/>
      <c r="V6" s="2"/>
      <c r="W6" s="2"/>
      <c r="X6" s="2"/>
      <c r="Y6" s="2"/>
      <c r="Z6" s="2"/>
      <c r="AA6" s="2"/>
      <c r="AB6" s="16"/>
      <c r="AC6" s="16"/>
      <c r="AD6" s="16"/>
      <c r="AE6" s="16"/>
      <c r="AF6" s="2"/>
      <c r="AG6" s="2"/>
      <c r="AH6" s="16"/>
      <c r="AI6" s="16"/>
      <c r="AJ6" s="16"/>
      <c r="AK6" s="16"/>
      <c r="AL6" s="16"/>
      <c r="AM6" s="16"/>
      <c r="AN6" s="2" t="s">
        <v>31</v>
      </c>
      <c r="AO6" s="16"/>
      <c r="AP6" s="16"/>
      <c r="AQ6" s="16"/>
      <c r="AR6" s="16"/>
      <c r="AS6" s="16"/>
      <c r="AT6" s="16" t="s">
        <v>31</v>
      </c>
      <c r="AU6" s="16" t="s">
        <v>31</v>
      </c>
      <c r="AV6" s="16"/>
      <c r="AW6" s="16"/>
      <c r="AX6" s="16"/>
      <c r="AY6" s="16"/>
      <c r="AZ6" s="16" t="s">
        <v>31</v>
      </c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2"/>
      <c r="BM6" s="16"/>
      <c r="BN6" s="16"/>
      <c r="BO6" s="16"/>
      <c r="BP6" s="16"/>
      <c r="BQ6" s="16"/>
      <c r="BR6" s="16"/>
      <c r="BS6" s="16"/>
      <c r="BT6" s="16"/>
      <c r="BU6" s="14"/>
      <c r="BV6" s="16"/>
      <c r="BW6" s="16"/>
      <c r="BX6" s="16"/>
      <c r="BY6" s="16"/>
      <c r="BZ6" s="16"/>
      <c r="CA6" s="16"/>
      <c r="CB6" s="16"/>
      <c r="CC6" s="16"/>
      <c r="CD6" s="135">
        <f t="shared" si="0"/>
        <v>6</v>
      </c>
      <c r="CE6" s="28"/>
      <c r="CF6" s="28" t="s">
        <v>608</v>
      </c>
      <c r="CG6" s="20" t="s">
        <v>937</v>
      </c>
      <c r="CH6" s="27" t="str">
        <f t="shared" ref="CH6:CH7" si="3">IF(CD6&lt;=0,"0",IF(CD6=1,"1",IF(CD6=2,"2",IF(CD6=3,"3",IF(CD6&gt;=4,"4")))))</f>
        <v>4</v>
      </c>
    </row>
    <row r="7" spans="1:111" ht="50.45" customHeight="1" x14ac:dyDescent="0.25">
      <c r="A7" s="63">
        <f t="shared" si="2"/>
        <v>4</v>
      </c>
      <c r="B7" s="138" t="s">
        <v>519</v>
      </c>
      <c r="C7" s="134" t="s">
        <v>520</v>
      </c>
      <c r="D7" s="134">
        <v>9626383627</v>
      </c>
      <c r="E7" s="134"/>
      <c r="F7" s="134"/>
      <c r="G7" s="134" t="s">
        <v>242</v>
      </c>
      <c r="H7" s="134" t="s">
        <v>15</v>
      </c>
      <c r="I7" s="134">
        <v>700</v>
      </c>
      <c r="J7" s="38"/>
      <c r="K7" s="99"/>
      <c r="L7" s="99"/>
      <c r="M7" s="99"/>
      <c r="N7" s="99"/>
      <c r="O7" s="99"/>
      <c r="P7" s="40"/>
      <c r="Q7" s="40"/>
      <c r="R7" s="40"/>
      <c r="S7" s="40" t="s">
        <v>31</v>
      </c>
      <c r="T7" s="38"/>
      <c r="U7" s="38"/>
      <c r="V7" s="38"/>
      <c r="W7" s="38"/>
      <c r="X7" s="38"/>
      <c r="Y7" s="2" t="s">
        <v>31</v>
      </c>
      <c r="Z7" s="38"/>
      <c r="AA7" s="38"/>
      <c r="AB7" s="38"/>
      <c r="AC7" s="38"/>
      <c r="AD7" s="38"/>
      <c r="AE7" s="5"/>
      <c r="AF7" s="5"/>
      <c r="AG7" s="5"/>
      <c r="AH7" s="5"/>
      <c r="AI7" s="5"/>
      <c r="AJ7" s="5"/>
      <c r="AK7" s="5"/>
      <c r="AL7" s="5"/>
      <c r="AM7" s="5"/>
      <c r="AN7" s="2" t="s">
        <v>31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14" t="s">
        <v>31</v>
      </c>
      <c r="BS7" s="14" t="s">
        <v>31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135">
        <f t="shared" si="0"/>
        <v>5</v>
      </c>
      <c r="CE7" s="28" t="s">
        <v>789</v>
      </c>
      <c r="CF7" s="28"/>
      <c r="CG7" s="20" t="s">
        <v>1040</v>
      </c>
      <c r="CH7" s="27" t="str">
        <f t="shared" si="3"/>
        <v>4</v>
      </c>
    </row>
    <row r="8" spans="1:111" ht="50.45" customHeight="1" x14ac:dyDescent="0.25">
      <c r="A8" s="63">
        <f t="shared" si="2"/>
        <v>5</v>
      </c>
      <c r="B8" s="138" t="s">
        <v>243</v>
      </c>
      <c r="C8" s="134" t="s">
        <v>244</v>
      </c>
      <c r="D8" s="134"/>
      <c r="E8" s="134"/>
      <c r="F8" s="134" t="s">
        <v>245</v>
      </c>
      <c r="G8" s="134" t="s">
        <v>242</v>
      </c>
      <c r="H8" s="134" t="s">
        <v>15</v>
      </c>
      <c r="I8" s="134">
        <v>3000</v>
      </c>
      <c r="J8" s="2"/>
      <c r="K8" s="2"/>
      <c r="L8" s="32"/>
      <c r="M8" s="2"/>
      <c r="N8" s="2"/>
      <c r="O8" s="32"/>
      <c r="P8" s="2"/>
      <c r="Q8" s="2"/>
      <c r="R8" s="2"/>
      <c r="S8" s="40"/>
      <c r="T8" s="40"/>
      <c r="U8" s="40"/>
      <c r="V8" s="2" t="s">
        <v>31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16"/>
      <c r="AH8" s="16"/>
      <c r="AI8" s="16"/>
      <c r="AJ8" s="5"/>
      <c r="AK8" s="14"/>
      <c r="AL8" s="5"/>
      <c r="AM8" s="5"/>
      <c r="AN8" s="78"/>
      <c r="AO8" s="5"/>
      <c r="AP8" s="5"/>
      <c r="AQ8" s="2"/>
      <c r="AR8" s="2"/>
      <c r="AS8" s="5"/>
      <c r="AT8" s="16"/>
      <c r="AU8" s="5"/>
      <c r="AV8" s="5"/>
      <c r="AW8" s="2"/>
      <c r="AX8" s="2"/>
      <c r="AY8" s="5"/>
      <c r="AZ8" s="2"/>
      <c r="BA8" s="2"/>
      <c r="BB8" s="5"/>
      <c r="BC8" s="16"/>
      <c r="BD8" s="5"/>
      <c r="BE8" s="5"/>
      <c r="BF8" s="14"/>
      <c r="BG8" s="14"/>
      <c r="BH8" s="5"/>
      <c r="BI8" s="14"/>
      <c r="BJ8" s="5"/>
      <c r="BK8" s="5"/>
      <c r="BL8" s="14"/>
      <c r="BM8" s="14"/>
      <c r="BN8" s="5"/>
      <c r="BO8" s="14"/>
      <c r="BP8" s="5"/>
      <c r="BQ8" s="5"/>
      <c r="BR8" s="2" t="s">
        <v>31</v>
      </c>
      <c r="BS8" s="5"/>
      <c r="BT8" s="5"/>
      <c r="BU8" s="2"/>
      <c r="BV8" s="5"/>
      <c r="BW8" s="5"/>
      <c r="BX8" s="14"/>
      <c r="BY8" s="14"/>
      <c r="BZ8" s="5"/>
      <c r="CA8" s="14"/>
      <c r="CB8" s="5"/>
      <c r="CC8" s="5"/>
      <c r="CD8" s="135">
        <f t="shared" si="0"/>
        <v>2</v>
      </c>
      <c r="CE8" s="28"/>
      <c r="CF8" s="28" t="s">
        <v>665</v>
      </c>
      <c r="CG8" s="20" t="s">
        <v>1011</v>
      </c>
      <c r="CH8" s="27" t="str">
        <f t="shared" ref="CH8:CH9" si="4">IF(CD8&lt;=0,"0",IF(CD8=1,"1",IF(CD8=2,"2",IF(CD8=3,"3",IF(CD8&gt;=4,"4")))))</f>
        <v>2</v>
      </c>
    </row>
    <row r="9" spans="1:111" ht="50.45" customHeight="1" x14ac:dyDescent="0.25">
      <c r="A9" s="63">
        <f t="shared" si="2"/>
        <v>6</v>
      </c>
      <c r="B9" s="299" t="s">
        <v>319</v>
      </c>
      <c r="C9" s="134" t="s">
        <v>320</v>
      </c>
      <c r="D9" s="134">
        <v>9442112116</v>
      </c>
      <c r="E9" s="134" t="s">
        <v>321</v>
      </c>
      <c r="F9" s="134"/>
      <c r="G9" s="134" t="s">
        <v>242</v>
      </c>
      <c r="H9" s="134" t="s">
        <v>15</v>
      </c>
      <c r="I9" s="134">
        <v>100</v>
      </c>
      <c r="J9" s="4"/>
      <c r="K9" s="31"/>
      <c r="L9" s="31"/>
      <c r="M9" s="31"/>
      <c r="N9" s="31"/>
      <c r="O9" s="31"/>
      <c r="P9" s="38"/>
      <c r="Q9" s="38"/>
      <c r="R9" s="38"/>
      <c r="S9" s="40" t="s">
        <v>31</v>
      </c>
      <c r="T9" s="38"/>
      <c r="U9" s="38"/>
      <c r="V9" s="38"/>
      <c r="W9" s="38"/>
      <c r="X9" s="38"/>
      <c r="Y9" s="2" t="s">
        <v>31</v>
      </c>
      <c r="Z9" s="38"/>
      <c r="AA9" s="38"/>
      <c r="AB9" s="38"/>
      <c r="AC9" s="38"/>
      <c r="AD9" s="38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 t="s">
        <v>31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2" t="s">
        <v>31</v>
      </c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135">
        <f t="shared" si="0"/>
        <v>4</v>
      </c>
      <c r="CE9" s="28" t="s">
        <v>856</v>
      </c>
      <c r="CF9" s="28"/>
      <c r="CG9" s="20" t="s">
        <v>1041</v>
      </c>
      <c r="CH9" s="27" t="str">
        <f t="shared" si="4"/>
        <v>4</v>
      </c>
    </row>
    <row r="10" spans="1:111" x14ac:dyDescent="0.25">
      <c r="A10" s="149"/>
      <c r="B10" s="144"/>
      <c r="C10" s="144"/>
      <c r="D10" s="144"/>
      <c r="E10" s="144"/>
      <c r="F10" s="144"/>
      <c r="G10" s="144"/>
      <c r="H10" s="143"/>
      <c r="I10" s="145"/>
      <c r="J10" s="143"/>
      <c r="K10" s="146"/>
      <c r="L10" s="146"/>
      <c r="M10" s="146"/>
      <c r="N10" s="146"/>
      <c r="O10" s="146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8"/>
      <c r="CH10" s="143"/>
    </row>
    <row r="11" spans="1:111" ht="50.45" customHeight="1" x14ac:dyDescent="0.25">
      <c r="A11" s="63">
        <f>ROW()-4</f>
        <v>7</v>
      </c>
      <c r="B11" s="138" t="s">
        <v>593</v>
      </c>
      <c r="C11" s="134"/>
      <c r="D11" s="134"/>
      <c r="E11" s="134"/>
      <c r="F11" s="134"/>
      <c r="G11" s="134" t="s">
        <v>242</v>
      </c>
      <c r="H11" s="134" t="s">
        <v>30</v>
      </c>
      <c r="I11" s="134">
        <v>950</v>
      </c>
      <c r="J11" s="2"/>
      <c r="K11" s="32"/>
      <c r="L11" s="32"/>
      <c r="M11" s="2"/>
      <c r="N11" s="32"/>
      <c r="O11" s="32"/>
      <c r="P11" s="2" t="s">
        <v>31</v>
      </c>
      <c r="Q11" s="2"/>
      <c r="R11" s="2"/>
      <c r="S11" s="40"/>
      <c r="T11" s="40"/>
      <c r="U11" s="40"/>
      <c r="V11" s="2"/>
      <c r="W11" s="2"/>
      <c r="X11" s="2"/>
      <c r="Y11" s="2" t="s">
        <v>31</v>
      </c>
      <c r="Z11" s="2"/>
      <c r="AA11" s="2"/>
      <c r="AB11" s="2"/>
      <c r="AC11" s="5"/>
      <c r="AD11" s="5"/>
      <c r="AE11" s="2"/>
      <c r="AF11" s="2"/>
      <c r="AG11" s="2"/>
      <c r="AH11" s="16"/>
      <c r="AI11" s="2"/>
      <c r="AJ11" s="2"/>
      <c r="AK11" s="2"/>
      <c r="AL11" s="2"/>
      <c r="AM11" s="2"/>
      <c r="AN11" s="2" t="s">
        <v>31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s">
        <v>31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 t="s">
        <v>31</v>
      </c>
      <c r="BS11" s="2"/>
      <c r="BT11" s="2"/>
      <c r="BU11" s="2" t="s">
        <v>31</v>
      </c>
      <c r="BV11" s="2"/>
      <c r="BW11" s="2"/>
      <c r="BX11" s="2"/>
      <c r="BY11" s="2"/>
      <c r="BZ11" s="2"/>
      <c r="CA11" s="2"/>
      <c r="CB11" s="2"/>
      <c r="CC11" s="2"/>
      <c r="CD11" s="135">
        <f t="shared" ref="CD11:CD19" si="5">COUNTA(J11:CC11)</f>
        <v>6</v>
      </c>
      <c r="CE11" s="28" t="s">
        <v>792</v>
      </c>
      <c r="CF11" s="28"/>
      <c r="CG11" s="20" t="s">
        <v>1046</v>
      </c>
      <c r="CH11" s="27" t="str">
        <f t="shared" ref="CH11:CH19" si="6">IF(CD11&lt;=0,"0",IF(CD11=1,"1",IF(CD11=2,"2",IF(CD11=3,"3",IF(CD11&gt;=4,"4")))))</f>
        <v>4</v>
      </c>
    </row>
    <row r="12" spans="1:111" ht="50.45" customHeight="1" x14ac:dyDescent="0.25">
      <c r="A12" s="63">
        <f>ROW()-4</f>
        <v>8</v>
      </c>
      <c r="B12" s="138" t="s">
        <v>386</v>
      </c>
      <c r="C12" s="134"/>
      <c r="D12" s="134"/>
      <c r="E12" s="134">
        <v>1800</v>
      </c>
      <c r="F12" s="134"/>
      <c r="G12" s="134" t="s">
        <v>242</v>
      </c>
      <c r="H12" s="134" t="s">
        <v>30</v>
      </c>
      <c r="I12" s="134"/>
      <c r="J12" s="2"/>
      <c r="K12" s="32"/>
      <c r="L12" s="32"/>
      <c r="M12" s="2"/>
      <c r="N12" s="32"/>
      <c r="O12" s="32"/>
      <c r="P12" s="2"/>
      <c r="Q12" s="2"/>
      <c r="R12" s="2"/>
      <c r="S12" s="40"/>
      <c r="T12" s="40"/>
      <c r="U12" s="40"/>
      <c r="V12" s="2"/>
      <c r="W12" s="2"/>
      <c r="X12" s="2"/>
      <c r="Y12" s="2"/>
      <c r="Z12" s="2"/>
      <c r="AA12" s="2"/>
      <c r="AB12" s="2"/>
      <c r="AC12" s="5"/>
      <c r="AD12" s="5"/>
      <c r="AE12" s="2"/>
      <c r="AF12" s="2"/>
      <c r="AG12" s="2"/>
      <c r="AH12" s="16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 t="s">
        <v>31</v>
      </c>
      <c r="AU12" s="2"/>
      <c r="AV12" s="2"/>
      <c r="AW12" s="2" t="s">
        <v>31</v>
      </c>
      <c r="AX12" s="2"/>
      <c r="AY12" s="2"/>
      <c r="AZ12" s="2" t="s">
        <v>31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 t="s">
        <v>31</v>
      </c>
      <c r="BV12" s="2"/>
      <c r="BW12" s="2"/>
      <c r="BX12" s="2"/>
      <c r="BY12" s="2"/>
      <c r="BZ12" s="2"/>
      <c r="CA12" s="2"/>
      <c r="CB12" s="2"/>
      <c r="CC12" s="2"/>
      <c r="CD12" s="135">
        <f t="shared" si="5"/>
        <v>4</v>
      </c>
      <c r="CE12" s="28" t="s">
        <v>934</v>
      </c>
      <c r="CF12" s="28"/>
      <c r="CG12" s="20" t="s">
        <v>1045</v>
      </c>
      <c r="CH12" s="27" t="str">
        <f t="shared" si="6"/>
        <v>4</v>
      </c>
    </row>
    <row r="13" spans="1:111" ht="50.45" customHeight="1" x14ac:dyDescent="0.25">
      <c r="A13" s="63">
        <f t="shared" ref="A13:A59" si="7">ROW()-4</f>
        <v>9</v>
      </c>
      <c r="B13" s="138" t="s">
        <v>417</v>
      </c>
      <c r="C13" s="134" t="s">
        <v>418</v>
      </c>
      <c r="D13" s="134"/>
      <c r="E13" s="134">
        <v>700</v>
      </c>
      <c r="F13" s="134"/>
      <c r="G13" s="134" t="s">
        <v>242</v>
      </c>
      <c r="H13" s="134" t="s">
        <v>30</v>
      </c>
      <c r="I13" s="134">
        <v>700</v>
      </c>
      <c r="J13" s="2"/>
      <c r="K13" s="32"/>
      <c r="L13" s="32"/>
      <c r="M13" s="2"/>
      <c r="N13" s="32"/>
      <c r="O13" s="32"/>
      <c r="P13" s="2"/>
      <c r="Q13" s="2"/>
      <c r="R13" s="2"/>
      <c r="S13" s="40"/>
      <c r="T13" s="40"/>
      <c r="U13" s="40"/>
      <c r="V13" s="2"/>
      <c r="W13" s="2"/>
      <c r="X13" s="2"/>
      <c r="Y13" s="2"/>
      <c r="Z13" s="2"/>
      <c r="AA13" s="2"/>
      <c r="AB13" s="2"/>
      <c r="AC13" s="5"/>
      <c r="AD13" s="5"/>
      <c r="AE13" s="2"/>
      <c r="AF13" s="2"/>
      <c r="AG13" s="2"/>
      <c r="AH13" s="16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31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35">
        <f t="shared" si="5"/>
        <v>1</v>
      </c>
      <c r="CE13" s="28" t="s">
        <v>873</v>
      </c>
      <c r="CF13" s="28"/>
      <c r="CG13" s="20" t="s">
        <v>874</v>
      </c>
      <c r="CH13" s="27" t="str">
        <f t="shared" si="6"/>
        <v>1</v>
      </c>
    </row>
    <row r="14" spans="1:111" ht="50.45" customHeight="1" x14ac:dyDescent="0.25">
      <c r="A14" s="63">
        <f t="shared" si="7"/>
        <v>10</v>
      </c>
      <c r="B14" s="138" t="s">
        <v>322</v>
      </c>
      <c r="C14" s="134" t="s">
        <v>323</v>
      </c>
      <c r="D14" s="134" t="s">
        <v>324</v>
      </c>
      <c r="E14" s="134" t="s">
        <v>325</v>
      </c>
      <c r="F14" s="134"/>
      <c r="G14" s="134" t="s">
        <v>242</v>
      </c>
      <c r="H14" s="134" t="s">
        <v>30</v>
      </c>
      <c r="I14" s="134">
        <v>1300</v>
      </c>
      <c r="J14" s="4"/>
      <c r="K14" s="31"/>
      <c r="L14" s="31"/>
      <c r="M14" s="31"/>
      <c r="N14" s="31"/>
      <c r="O14" s="31"/>
      <c r="P14" s="40" t="s">
        <v>31</v>
      </c>
      <c r="Q14" s="40"/>
      <c r="R14" s="40"/>
      <c r="S14" s="40" t="s">
        <v>31</v>
      </c>
      <c r="T14" s="38"/>
      <c r="U14" s="38"/>
      <c r="V14" s="38"/>
      <c r="W14" s="38"/>
      <c r="X14" s="38"/>
      <c r="Y14" s="2" t="s">
        <v>31</v>
      </c>
      <c r="Z14" s="38"/>
      <c r="AA14" s="38"/>
      <c r="AB14" s="38"/>
      <c r="AC14" s="38"/>
      <c r="AD14" s="38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135">
        <f t="shared" si="5"/>
        <v>3</v>
      </c>
      <c r="CE14" s="28"/>
      <c r="CF14" s="28"/>
      <c r="CG14" s="20" t="s">
        <v>785</v>
      </c>
      <c r="CH14" s="27" t="str">
        <f t="shared" si="6"/>
        <v>3</v>
      </c>
    </row>
    <row r="15" spans="1:111" ht="50.45" customHeight="1" x14ac:dyDescent="0.25">
      <c r="A15" s="63">
        <f t="shared" si="7"/>
        <v>11</v>
      </c>
      <c r="B15" s="138" t="s">
        <v>817</v>
      </c>
      <c r="C15" s="134" t="s">
        <v>818</v>
      </c>
      <c r="D15" s="38"/>
      <c r="E15" s="134">
        <v>1320</v>
      </c>
      <c r="F15" s="134"/>
      <c r="G15" s="134" t="s">
        <v>242</v>
      </c>
      <c r="H15" s="134" t="s">
        <v>30</v>
      </c>
      <c r="I15" s="134">
        <v>1320</v>
      </c>
      <c r="J15" s="4"/>
      <c r="K15" s="31"/>
      <c r="L15" s="31"/>
      <c r="M15" s="31"/>
      <c r="N15" s="31"/>
      <c r="O15" s="31"/>
      <c r="P15" s="40"/>
      <c r="Q15" s="40"/>
      <c r="R15" s="40"/>
      <c r="S15" s="40"/>
      <c r="T15" s="38"/>
      <c r="U15" s="38"/>
      <c r="V15" s="38"/>
      <c r="W15" s="38"/>
      <c r="X15" s="38"/>
      <c r="Y15" s="2"/>
      <c r="Z15" s="38"/>
      <c r="AA15" s="38"/>
      <c r="AB15" s="38"/>
      <c r="AC15" s="38"/>
      <c r="AD15" s="38"/>
      <c r="AE15" s="5"/>
      <c r="AF15" s="5"/>
      <c r="AG15" s="5"/>
      <c r="AH15" s="5"/>
      <c r="AI15" s="5"/>
      <c r="AJ15" s="5"/>
      <c r="AK15" s="5"/>
      <c r="AL15" s="5"/>
      <c r="AM15" s="5"/>
      <c r="AN15" s="2" t="s">
        <v>31</v>
      </c>
      <c r="AO15" s="5"/>
      <c r="AP15" s="5"/>
      <c r="AQ15" s="5"/>
      <c r="AR15" s="5"/>
      <c r="AS15" s="5"/>
      <c r="AT15" s="2" t="s">
        <v>31</v>
      </c>
      <c r="AU15" s="2" t="s">
        <v>31</v>
      </c>
      <c r="AV15" s="5"/>
      <c r="AW15" s="5"/>
      <c r="AX15" s="5"/>
      <c r="AY15" s="5"/>
      <c r="AZ15" s="2" t="s">
        <v>31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2" t="s">
        <v>31</v>
      </c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135">
        <f t="shared" si="5"/>
        <v>5</v>
      </c>
      <c r="CE15" s="28" t="s">
        <v>819</v>
      </c>
      <c r="CF15" s="28"/>
      <c r="CG15" s="20" t="s">
        <v>1042</v>
      </c>
      <c r="CH15" s="27" t="str">
        <f t="shared" si="6"/>
        <v>4</v>
      </c>
    </row>
    <row r="16" spans="1:111" ht="50.45" customHeight="1" x14ac:dyDescent="0.25">
      <c r="A16" s="63">
        <f t="shared" si="7"/>
        <v>12</v>
      </c>
      <c r="B16" s="138" t="s">
        <v>326</v>
      </c>
      <c r="C16" s="134" t="s">
        <v>327</v>
      </c>
      <c r="D16" s="38"/>
      <c r="E16" s="134">
        <v>800</v>
      </c>
      <c r="F16" s="134"/>
      <c r="G16" s="134" t="s">
        <v>242</v>
      </c>
      <c r="H16" s="134" t="s">
        <v>30</v>
      </c>
      <c r="I16" s="134"/>
      <c r="J16" s="4"/>
      <c r="K16" s="31"/>
      <c r="L16" s="31"/>
      <c r="M16" s="31"/>
      <c r="N16" s="31"/>
      <c r="O16" s="31"/>
      <c r="P16" s="40"/>
      <c r="Q16" s="40"/>
      <c r="R16" s="40"/>
      <c r="S16" s="40"/>
      <c r="T16" s="38"/>
      <c r="U16" s="38"/>
      <c r="V16" s="38"/>
      <c r="W16" s="38"/>
      <c r="X16" s="38"/>
      <c r="Y16" s="2" t="s">
        <v>31</v>
      </c>
      <c r="Z16" s="38"/>
      <c r="AA16" s="38"/>
      <c r="AB16" s="38"/>
      <c r="AC16" s="38"/>
      <c r="AD16" s="38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2"/>
      <c r="AU16" s="2"/>
      <c r="AV16" s="5"/>
      <c r="AW16" s="5"/>
      <c r="AX16" s="5"/>
      <c r="AY16" s="5"/>
      <c r="AZ16" s="2" t="s">
        <v>31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135">
        <f t="shared" si="5"/>
        <v>2</v>
      </c>
      <c r="CE16" s="28"/>
      <c r="CF16" s="28" t="s">
        <v>788</v>
      </c>
      <c r="CG16" s="20" t="s">
        <v>935</v>
      </c>
      <c r="CH16" s="27" t="str">
        <f t="shared" si="6"/>
        <v>2</v>
      </c>
    </row>
    <row r="17" spans="1:86" ht="50.45" customHeight="1" x14ac:dyDescent="0.25">
      <c r="A17" s="63">
        <f t="shared" si="7"/>
        <v>13</v>
      </c>
      <c r="B17" s="138" t="s">
        <v>790</v>
      </c>
      <c r="C17" s="134" t="s">
        <v>791</v>
      </c>
      <c r="D17" s="38"/>
      <c r="E17" s="134">
        <v>1200</v>
      </c>
      <c r="F17" s="134"/>
      <c r="G17" s="134" t="s">
        <v>242</v>
      </c>
      <c r="H17" s="134" t="s">
        <v>30</v>
      </c>
      <c r="I17" s="134"/>
      <c r="J17" s="4"/>
      <c r="K17" s="31"/>
      <c r="L17" s="31"/>
      <c r="M17" s="31"/>
      <c r="N17" s="31"/>
      <c r="O17" s="31"/>
      <c r="P17" s="40"/>
      <c r="Q17" s="40"/>
      <c r="R17" s="40"/>
      <c r="S17" s="40"/>
      <c r="T17" s="38"/>
      <c r="U17" s="38"/>
      <c r="V17" s="38"/>
      <c r="W17" s="38"/>
      <c r="X17" s="38"/>
      <c r="Y17" s="2" t="s">
        <v>31</v>
      </c>
      <c r="Z17" s="38"/>
      <c r="AA17" s="38"/>
      <c r="AB17" s="38"/>
      <c r="AC17" s="38"/>
      <c r="AD17" s="38"/>
      <c r="AE17" s="5"/>
      <c r="AF17" s="5"/>
      <c r="AG17" s="5"/>
      <c r="AH17" s="5"/>
      <c r="AI17" s="5"/>
      <c r="AJ17" s="5"/>
      <c r="AK17" s="5"/>
      <c r="AL17" s="5"/>
      <c r="AM17" s="5"/>
      <c r="AN17" s="2" t="s">
        <v>31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135">
        <f t="shared" si="5"/>
        <v>2</v>
      </c>
      <c r="CE17" s="28" t="s">
        <v>814</v>
      </c>
      <c r="CF17" s="28"/>
      <c r="CG17" s="20" t="s">
        <v>815</v>
      </c>
      <c r="CH17" s="27" t="str">
        <f t="shared" si="6"/>
        <v>2</v>
      </c>
    </row>
    <row r="18" spans="1:86" ht="50.45" customHeight="1" x14ac:dyDescent="0.25">
      <c r="A18" s="63">
        <f t="shared" si="7"/>
        <v>14</v>
      </c>
      <c r="B18" s="138" t="s">
        <v>438</v>
      </c>
      <c r="C18" s="134" t="s">
        <v>439</v>
      </c>
      <c r="D18" s="134" t="s">
        <v>440</v>
      </c>
      <c r="E18" s="134"/>
      <c r="F18" s="134" t="s">
        <v>241</v>
      </c>
      <c r="G18" s="134" t="s">
        <v>242</v>
      </c>
      <c r="H18" s="134" t="s">
        <v>30</v>
      </c>
      <c r="I18" s="134">
        <v>1000</v>
      </c>
      <c r="J18" s="4"/>
      <c r="K18" s="31"/>
      <c r="L18" s="31"/>
      <c r="M18" s="31"/>
      <c r="N18" s="31"/>
      <c r="O18" s="31"/>
      <c r="P18" s="38"/>
      <c r="Q18" s="38"/>
      <c r="R18" s="38"/>
      <c r="S18" s="38"/>
      <c r="T18" s="38"/>
      <c r="U18" s="38"/>
      <c r="V18" s="2" t="s">
        <v>31</v>
      </c>
      <c r="W18" s="38"/>
      <c r="X18" s="38"/>
      <c r="Y18" s="38"/>
      <c r="Z18" s="38"/>
      <c r="AA18" s="38"/>
      <c r="AB18" s="38"/>
      <c r="AC18" s="38"/>
      <c r="AD18" s="38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2" t="s">
        <v>31</v>
      </c>
      <c r="AU18" s="2"/>
      <c r="AV18" s="2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135">
        <f t="shared" si="5"/>
        <v>2</v>
      </c>
      <c r="CE18" s="28" t="s">
        <v>896</v>
      </c>
      <c r="CF18" s="28"/>
      <c r="CG18" s="20" t="s">
        <v>897</v>
      </c>
      <c r="CH18" s="27" t="str">
        <f t="shared" si="6"/>
        <v>2</v>
      </c>
    </row>
    <row r="19" spans="1:86" ht="50.45" customHeight="1" x14ac:dyDescent="0.25">
      <c r="A19" s="63">
        <f t="shared" si="7"/>
        <v>15</v>
      </c>
      <c r="B19" s="138" t="s">
        <v>516</v>
      </c>
      <c r="C19" s="134" t="s">
        <v>517</v>
      </c>
      <c r="D19" s="134" t="s">
        <v>518</v>
      </c>
      <c r="E19" s="134"/>
      <c r="F19" s="134"/>
      <c r="G19" s="134" t="s">
        <v>242</v>
      </c>
      <c r="H19" s="134" t="s">
        <v>30</v>
      </c>
      <c r="I19" s="134">
        <v>650</v>
      </c>
      <c r="J19" s="38"/>
      <c r="K19" s="99"/>
      <c r="L19" s="99"/>
      <c r="M19" s="99"/>
      <c r="N19" s="99"/>
      <c r="O19" s="99"/>
      <c r="P19" s="38"/>
      <c r="Q19" s="38"/>
      <c r="R19" s="38"/>
      <c r="S19" s="40" t="s">
        <v>31</v>
      </c>
      <c r="T19" s="38"/>
      <c r="U19" s="38"/>
      <c r="V19" s="38"/>
      <c r="W19" s="38"/>
      <c r="X19" s="38"/>
      <c r="Y19" s="2" t="s">
        <v>31</v>
      </c>
      <c r="Z19" s="38"/>
      <c r="AA19" s="38"/>
      <c r="AB19" s="38"/>
      <c r="AC19" s="38"/>
      <c r="AD19" s="38"/>
      <c r="AE19" s="5"/>
      <c r="AF19" s="5"/>
      <c r="AG19" s="5"/>
      <c r="AH19" s="5"/>
      <c r="AI19" s="5"/>
      <c r="AJ19" s="5"/>
      <c r="AK19" s="5"/>
      <c r="AL19" s="5"/>
      <c r="AM19" s="5"/>
      <c r="AN19" s="2" t="s">
        <v>31</v>
      </c>
      <c r="AO19" s="5"/>
      <c r="AP19" s="5"/>
      <c r="AQ19" s="5"/>
      <c r="AR19" s="5"/>
      <c r="AS19" s="5"/>
      <c r="AT19" s="2" t="s">
        <v>31</v>
      </c>
      <c r="AU19" s="2" t="s">
        <v>31</v>
      </c>
      <c r="AV19" s="2"/>
      <c r="AW19" s="2" t="s">
        <v>31</v>
      </c>
      <c r="AX19" s="5"/>
      <c r="AY19" s="5"/>
      <c r="AZ19" s="2" t="s">
        <v>31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135">
        <f t="shared" si="5"/>
        <v>7</v>
      </c>
      <c r="CE19" s="28" t="s">
        <v>816</v>
      </c>
      <c r="CF19" s="28"/>
      <c r="CG19" s="20" t="s">
        <v>936</v>
      </c>
      <c r="CH19" s="27" t="str">
        <f t="shared" si="6"/>
        <v>4</v>
      </c>
    </row>
    <row r="56" spans="1:86" ht="50.45" customHeight="1" x14ac:dyDescent="0.25">
      <c r="A56" s="63">
        <f t="shared" ref="A56:A60" si="8">ROW()-4</f>
        <v>52</v>
      </c>
      <c r="B56" s="214" t="s">
        <v>589</v>
      </c>
      <c r="C56" s="134" t="s">
        <v>590</v>
      </c>
      <c r="D56" s="134" t="s">
        <v>592</v>
      </c>
      <c r="E56" s="134"/>
      <c r="F56" s="134"/>
      <c r="G56" s="134" t="s">
        <v>591</v>
      </c>
      <c r="H56" s="134" t="s">
        <v>215</v>
      </c>
      <c r="I56" s="134"/>
      <c r="J56" s="38"/>
      <c r="K56" s="99"/>
      <c r="L56" s="99"/>
      <c r="M56" s="99"/>
      <c r="N56" s="99"/>
      <c r="O56" s="99"/>
      <c r="P56" s="14" t="s">
        <v>31</v>
      </c>
      <c r="Q56" s="14"/>
      <c r="R56" s="14"/>
      <c r="S56" s="14"/>
      <c r="T56" s="14"/>
      <c r="U56" s="14"/>
      <c r="V56" s="38"/>
      <c r="W56" s="38"/>
      <c r="X56" s="38"/>
      <c r="Y56" s="38"/>
      <c r="Z56" s="38"/>
      <c r="AA56" s="38"/>
      <c r="AB56" s="38"/>
      <c r="AC56" s="38"/>
      <c r="AD56" s="38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135">
        <f>COUNTA(J56:CC56)</f>
        <v>1</v>
      </c>
      <c r="CE56" s="28"/>
      <c r="CF56" s="28"/>
      <c r="CG56" s="20" t="s">
        <v>588</v>
      </c>
      <c r="CH56" s="27" t="str">
        <f>IF(CD56&lt;=0,"0",IF(CD56=1,"1",IF(CD56=2,"2",IF(CD56=3,"3",IF(CD56&gt;=4,"4")))))</f>
        <v>1</v>
      </c>
    </row>
    <row r="57" spans="1:86" ht="50.45" customHeight="1" x14ac:dyDescent="0.25">
      <c r="A57" s="63">
        <f t="shared" si="7"/>
        <v>53</v>
      </c>
      <c r="B57" s="214" t="s">
        <v>348</v>
      </c>
      <c r="C57" s="134" t="s">
        <v>349</v>
      </c>
      <c r="D57" s="134">
        <v>9578727026</v>
      </c>
      <c r="E57" s="134" t="s">
        <v>350</v>
      </c>
      <c r="F57" s="134"/>
      <c r="G57" s="134" t="s">
        <v>242</v>
      </c>
      <c r="H57" s="134" t="s">
        <v>15</v>
      </c>
      <c r="I57" s="134">
        <v>300</v>
      </c>
      <c r="J57" s="4"/>
      <c r="K57" s="31"/>
      <c r="L57" s="31"/>
      <c r="M57" s="31"/>
      <c r="N57" s="31"/>
      <c r="O57" s="31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2" t="s">
        <v>31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135">
        <f>COUNTA(J57:CC57)</f>
        <v>1</v>
      </c>
      <c r="CE57" s="28" t="s">
        <v>905</v>
      </c>
      <c r="CF57" s="28"/>
      <c r="CG57" s="20" t="s">
        <v>906</v>
      </c>
      <c r="CH57" s="27" t="str">
        <f>IF(CD57&lt;=0,"0",IF(CD57=1,"1",IF(CD57=2,"2",IF(CD57=3,"3",IF(CD57&gt;=4,"4")))))</f>
        <v>1</v>
      </c>
    </row>
    <row r="58" spans="1:86" ht="50.45" customHeight="1" x14ac:dyDescent="0.25">
      <c r="A58" s="63">
        <f t="shared" si="7"/>
        <v>54</v>
      </c>
      <c r="B58" s="214" t="s">
        <v>396</v>
      </c>
      <c r="C58" s="134" t="s">
        <v>786</v>
      </c>
      <c r="D58" s="38"/>
      <c r="E58" s="134">
        <v>1500</v>
      </c>
      <c r="F58" s="134"/>
      <c r="G58" s="134" t="s">
        <v>242</v>
      </c>
      <c r="H58" s="134" t="s">
        <v>30</v>
      </c>
      <c r="I58" s="134">
        <v>1500</v>
      </c>
      <c r="J58" s="4"/>
      <c r="K58" s="31"/>
      <c r="L58" s="31"/>
      <c r="M58" s="31"/>
      <c r="N58" s="31"/>
      <c r="O58" s="31"/>
      <c r="P58" s="40"/>
      <c r="Q58" s="40"/>
      <c r="R58" s="40"/>
      <c r="S58" s="40"/>
      <c r="T58" s="38"/>
      <c r="U58" s="38"/>
      <c r="V58" s="38"/>
      <c r="W58" s="38"/>
      <c r="X58" s="38"/>
      <c r="Y58" s="2" t="s">
        <v>31</v>
      </c>
      <c r="Z58" s="38"/>
      <c r="AA58" s="38"/>
      <c r="AB58" s="38"/>
      <c r="AC58" s="38"/>
      <c r="AD58" s="38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2"/>
      <c r="AU58" s="2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135">
        <f>COUNTA(J58:CC58)</f>
        <v>1</v>
      </c>
      <c r="CE58" s="28"/>
      <c r="CF58" s="28"/>
      <c r="CG58" s="20" t="s">
        <v>787</v>
      </c>
      <c r="CH58" s="27" t="str">
        <f>IF(CD58&lt;=0,"0",IF(CD58=1,"1",IF(CD58=2,"2",IF(CD58=3,"3",IF(CD58&gt;=4,"4")))))</f>
        <v>1</v>
      </c>
    </row>
    <row r="59" spans="1:86" ht="50.45" customHeight="1" x14ac:dyDescent="0.25">
      <c r="A59" s="63">
        <f t="shared" si="7"/>
        <v>55</v>
      </c>
      <c r="B59" s="214" t="s">
        <v>322</v>
      </c>
      <c r="C59" s="134" t="s">
        <v>323</v>
      </c>
      <c r="D59" s="13"/>
      <c r="E59" s="134">
        <v>1300</v>
      </c>
      <c r="F59" s="134"/>
      <c r="G59" s="134" t="s">
        <v>242</v>
      </c>
      <c r="H59" s="134" t="s">
        <v>30</v>
      </c>
      <c r="I59" s="134"/>
      <c r="J59" s="4"/>
      <c r="K59" s="31"/>
      <c r="L59" s="31"/>
      <c r="M59" s="31"/>
      <c r="N59" s="31"/>
      <c r="O59" s="31"/>
      <c r="P59" s="40"/>
      <c r="Q59" s="40"/>
      <c r="R59" s="40"/>
      <c r="S59" s="40"/>
      <c r="T59" s="38"/>
      <c r="U59" s="38"/>
      <c r="V59" s="38"/>
      <c r="W59" s="38"/>
      <c r="X59" s="38"/>
      <c r="Y59" s="2"/>
      <c r="Z59" s="38"/>
      <c r="AA59" s="38"/>
      <c r="AB59" s="38"/>
      <c r="AC59" s="38"/>
      <c r="AD59" s="38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2" t="s">
        <v>31</v>
      </c>
      <c r="AU59" s="2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135">
        <f>COUNTA(J59:CC59)</f>
        <v>1</v>
      </c>
      <c r="CE59" s="28"/>
      <c r="CF59" s="28"/>
      <c r="CG59" s="20" t="s">
        <v>876</v>
      </c>
      <c r="CH59" s="27" t="str">
        <f>IF(CD59&lt;=0,"0",IF(CD59=1,"1",IF(CD59=2,"2",IF(CD59=3,"3",IF(CD59&gt;=4,"4")))))</f>
        <v>1</v>
      </c>
    </row>
    <row r="60" spans="1:86" ht="50.45" customHeight="1" x14ac:dyDescent="0.25">
      <c r="A60" s="63">
        <f t="shared" si="8"/>
        <v>56</v>
      </c>
      <c r="B60" s="214" t="s">
        <v>420</v>
      </c>
      <c r="C60" s="134" t="s">
        <v>421</v>
      </c>
      <c r="D60" s="134">
        <v>9442996800</v>
      </c>
      <c r="E60" s="134" t="s">
        <v>422</v>
      </c>
      <c r="F60" s="134"/>
      <c r="G60" s="134" t="s">
        <v>242</v>
      </c>
      <c r="H60" s="134" t="s">
        <v>30</v>
      </c>
      <c r="I60" s="134">
        <v>1200</v>
      </c>
      <c r="J60" s="2"/>
      <c r="K60" s="30"/>
      <c r="L60" s="30"/>
      <c r="M60" s="30"/>
      <c r="N60" s="2"/>
      <c r="O60" s="30"/>
      <c r="P60" s="2"/>
      <c r="Q60" s="2"/>
      <c r="R60" s="2"/>
      <c r="S60" s="40" t="s">
        <v>31</v>
      </c>
      <c r="T60" s="40" t="s">
        <v>31</v>
      </c>
      <c r="U60" s="40"/>
      <c r="V60" s="2"/>
      <c r="W60" s="2"/>
      <c r="X60" s="2"/>
      <c r="Y60" s="2" t="s">
        <v>31</v>
      </c>
      <c r="Z60" s="2"/>
      <c r="AA60" s="2"/>
      <c r="AB60" s="14"/>
      <c r="AC60" s="5"/>
      <c r="AD60" s="5"/>
      <c r="AE60" s="14"/>
      <c r="AF60" s="5"/>
      <c r="AG60" s="2"/>
      <c r="AH60" s="16"/>
      <c r="AI60" s="16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16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135">
        <f>COUNTA(J60:CC60)</f>
        <v>3</v>
      </c>
      <c r="CE60" s="28"/>
      <c r="CF60" s="28" t="s">
        <v>635</v>
      </c>
      <c r="CG60" s="20" t="s">
        <v>634</v>
      </c>
      <c r="CH60" s="27" t="str">
        <f>IF(CD60&lt;=0,"0",IF(CD60=1,"1",IF(CD60=2,"2",IF(CD60=3,"3",IF(CD60&gt;=4,"4")))))</f>
        <v>3</v>
      </c>
    </row>
    <row r="62" spans="1:86" ht="50.45" customHeight="1" x14ac:dyDescent="0.25">
      <c r="A62" s="63">
        <f t="shared" si="2"/>
        <v>59</v>
      </c>
      <c r="B62" s="214" t="s">
        <v>594</v>
      </c>
      <c r="C62" s="134"/>
      <c r="D62" s="134"/>
      <c r="E62" s="134"/>
      <c r="F62" s="134"/>
      <c r="G62" s="134" t="s">
        <v>595</v>
      </c>
      <c r="H62" s="134" t="s">
        <v>15</v>
      </c>
      <c r="I62" s="134"/>
      <c r="J62" s="4"/>
      <c r="K62" s="31"/>
      <c r="L62" s="31"/>
      <c r="M62" s="31"/>
      <c r="N62" s="31"/>
      <c r="O62" s="31"/>
      <c r="P62" s="14" t="s">
        <v>31</v>
      </c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135">
        <f>COUNTA(J62:CC62)</f>
        <v>1</v>
      </c>
      <c r="CE62" s="28"/>
      <c r="CF62" s="28"/>
      <c r="CG62" s="20" t="s">
        <v>588</v>
      </c>
      <c r="CH62" s="27" t="str">
        <f>IF(CD62&lt;=0,"0",IF(CD62=1,"1",IF(CD62=2,"2",IF(CD62=3,"3",IF(CD62&gt;=4,"4")))))</f>
        <v>1</v>
      </c>
    </row>
    <row r="69" spans="1:86" ht="50.45" customHeight="1" x14ac:dyDescent="0.25">
      <c r="A69" s="63">
        <v>1</v>
      </c>
      <c r="B69" s="138" t="s">
        <v>286</v>
      </c>
      <c r="C69" s="134" t="s">
        <v>287</v>
      </c>
      <c r="D69" s="134">
        <v>6374417733</v>
      </c>
      <c r="E69" s="134"/>
      <c r="F69" s="134"/>
      <c r="G69" s="134" t="s">
        <v>242</v>
      </c>
      <c r="H69" s="134" t="s">
        <v>15</v>
      </c>
      <c r="I69" s="134">
        <v>1500</v>
      </c>
      <c r="J69" s="4"/>
      <c r="K69" s="31"/>
      <c r="L69" s="31"/>
      <c r="M69" s="2"/>
      <c r="N69" s="31"/>
      <c r="O69" s="31"/>
      <c r="P69" s="38"/>
      <c r="Q69" s="38"/>
      <c r="R69" s="38"/>
      <c r="S69" s="14"/>
      <c r="T69" s="38"/>
      <c r="U69" s="38"/>
      <c r="V69" s="14"/>
      <c r="W69" s="38"/>
      <c r="X69" s="38"/>
      <c r="Y69" s="14"/>
      <c r="Z69" s="38"/>
      <c r="AA69" s="38"/>
      <c r="AB69" s="38"/>
      <c r="AC69" s="38"/>
      <c r="AD69" s="38"/>
      <c r="AE69" s="2"/>
      <c r="AF69" s="5"/>
      <c r="AG69" s="5"/>
      <c r="AH69" s="14"/>
      <c r="AI69" s="5"/>
      <c r="AJ69" s="5"/>
      <c r="AK69" s="14"/>
      <c r="AL69" s="5"/>
      <c r="AM69" s="5"/>
      <c r="AN69" s="5"/>
      <c r="AO69" s="5"/>
      <c r="AP69" s="5"/>
      <c r="AQ69" s="5"/>
      <c r="AR69" s="5"/>
      <c r="AS69" s="5"/>
      <c r="AT69" s="2"/>
      <c r="AU69" s="5"/>
      <c r="AV69" s="5"/>
      <c r="AW69" s="5"/>
      <c r="AX69" s="5"/>
      <c r="AY69" s="5"/>
      <c r="AZ69" s="2"/>
      <c r="BA69" s="5"/>
      <c r="BB69" s="5"/>
      <c r="BC69" s="2"/>
      <c r="BD69" s="5"/>
      <c r="BE69" s="5"/>
      <c r="BF69" s="14"/>
      <c r="BG69" s="5"/>
      <c r="BH69" s="5"/>
      <c r="BI69" s="5"/>
      <c r="BJ69" s="5"/>
      <c r="BK69" s="5"/>
      <c r="BL69" s="43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135">
        <f t="shared" ref="CD69:CD87" si="9">COUNTA(J69:CC69)</f>
        <v>0</v>
      </c>
      <c r="CE69" s="28"/>
      <c r="CF69" s="28"/>
      <c r="CG69" s="20"/>
      <c r="CH69" s="27" t="str">
        <f t="shared" ref="CH69:CH87" si="10">IF(CD69&lt;=0,"0",IF(CD69=1,"1",IF(CD69=2,"2",IF(CD69=3,"3",IF(CD69&gt;=4,"4")))))</f>
        <v>0</v>
      </c>
    </row>
    <row r="70" spans="1:86" ht="50.45" customHeight="1" x14ac:dyDescent="0.25">
      <c r="A70" s="63">
        <v>2</v>
      </c>
      <c r="B70" s="138" t="s">
        <v>472</v>
      </c>
      <c r="C70" s="134" t="s">
        <v>473</v>
      </c>
      <c r="D70" s="134">
        <v>9442344741</v>
      </c>
      <c r="E70" s="134"/>
      <c r="F70" s="134"/>
      <c r="G70" s="134" t="s">
        <v>242</v>
      </c>
      <c r="H70" s="134" t="s">
        <v>15</v>
      </c>
      <c r="I70" s="134">
        <v>1573</v>
      </c>
      <c r="J70" s="38"/>
      <c r="K70" s="99"/>
      <c r="L70" s="99"/>
      <c r="M70" s="99"/>
      <c r="N70" s="99"/>
      <c r="O70" s="99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135">
        <f t="shared" si="9"/>
        <v>0</v>
      </c>
      <c r="CE70" s="28"/>
      <c r="CF70" s="28"/>
      <c r="CG70" s="20"/>
      <c r="CH70" s="27" t="str">
        <f t="shared" si="10"/>
        <v>0</v>
      </c>
    </row>
    <row r="71" spans="1:86" ht="50.45" customHeight="1" x14ac:dyDescent="0.25">
      <c r="A71" s="63">
        <v>4</v>
      </c>
      <c r="B71" s="138" t="s">
        <v>445</v>
      </c>
      <c r="C71" s="134" t="s">
        <v>446</v>
      </c>
      <c r="D71" s="134">
        <v>9626542716</v>
      </c>
      <c r="E71" s="134"/>
      <c r="F71" s="134"/>
      <c r="G71" s="134" t="s">
        <v>242</v>
      </c>
      <c r="H71" s="134" t="s">
        <v>15</v>
      </c>
      <c r="I71" s="134">
        <v>800</v>
      </c>
      <c r="J71" s="4"/>
      <c r="K71" s="31"/>
      <c r="L71" s="31"/>
      <c r="M71" s="31"/>
      <c r="N71" s="31"/>
      <c r="O71" s="31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135">
        <f t="shared" si="9"/>
        <v>0</v>
      </c>
      <c r="CE71" s="28"/>
      <c r="CF71" s="28"/>
      <c r="CG71" s="20"/>
      <c r="CH71" s="27" t="str">
        <f t="shared" si="10"/>
        <v>0</v>
      </c>
    </row>
    <row r="72" spans="1:86" ht="50.45" customHeight="1" x14ac:dyDescent="0.25">
      <c r="A72" s="63">
        <v>7</v>
      </c>
      <c r="B72" s="138" t="s">
        <v>239</v>
      </c>
      <c r="C72" s="134" t="s">
        <v>240</v>
      </c>
      <c r="D72" s="134"/>
      <c r="E72" s="134"/>
      <c r="F72" s="134" t="s">
        <v>241</v>
      </c>
      <c r="G72" s="134" t="s">
        <v>242</v>
      </c>
      <c r="H72" s="134" t="s">
        <v>15</v>
      </c>
      <c r="I72" s="134">
        <v>1848</v>
      </c>
      <c r="J72" s="2"/>
      <c r="K72" s="31"/>
      <c r="L72" s="31"/>
      <c r="M72" s="30"/>
      <c r="N72" s="31"/>
      <c r="O72" s="31"/>
      <c r="P72" s="2"/>
      <c r="Q72" s="38"/>
      <c r="R72" s="38"/>
      <c r="S72" s="38"/>
      <c r="T72" s="38"/>
      <c r="U72" s="38"/>
      <c r="V72" s="14"/>
      <c r="W72" s="38"/>
      <c r="X72" s="38"/>
      <c r="Y72" s="38"/>
      <c r="Z72" s="38"/>
      <c r="AA72" s="38"/>
      <c r="AB72" s="14"/>
      <c r="AC72" s="38"/>
      <c r="AD72" s="38"/>
      <c r="AE72" s="2"/>
      <c r="AF72" s="2"/>
      <c r="AG72" s="5"/>
      <c r="AH72" s="14"/>
      <c r="AI72" s="5"/>
      <c r="AJ72" s="5"/>
      <c r="AK72" s="14"/>
      <c r="AL72" s="5"/>
      <c r="AM72" s="5"/>
      <c r="AN72" s="2"/>
      <c r="AO72" s="5"/>
      <c r="AP72" s="5"/>
      <c r="AQ72" s="2"/>
      <c r="AR72" s="2"/>
      <c r="AS72" s="5"/>
      <c r="AT72" s="2"/>
      <c r="AU72" s="5"/>
      <c r="AV72" s="5"/>
      <c r="AW72" s="2"/>
      <c r="AX72" s="5"/>
      <c r="AY72" s="5"/>
      <c r="AZ72" s="2"/>
      <c r="BA72" s="5"/>
      <c r="BB72" s="5"/>
      <c r="BC72" s="2"/>
      <c r="BD72" s="5"/>
      <c r="BE72" s="5"/>
      <c r="BF72" s="5"/>
      <c r="BG72" s="5"/>
      <c r="BH72" s="5"/>
      <c r="BI72" s="2"/>
      <c r="BJ72" s="5"/>
      <c r="BK72" s="5"/>
      <c r="BL72" s="2"/>
      <c r="BM72" s="5"/>
      <c r="BN72" s="5"/>
      <c r="BO72" s="2"/>
      <c r="BP72" s="5"/>
      <c r="BQ72" s="5"/>
      <c r="BR72" s="14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135">
        <f t="shared" si="9"/>
        <v>0</v>
      </c>
      <c r="CE72" s="28"/>
      <c r="CF72" s="28"/>
      <c r="CG72" s="20"/>
      <c r="CH72" s="27" t="str">
        <f t="shared" si="10"/>
        <v>0</v>
      </c>
    </row>
    <row r="73" spans="1:86" ht="50.45" customHeight="1" x14ac:dyDescent="0.25">
      <c r="A73" s="63">
        <v>8</v>
      </c>
      <c r="B73" s="138" t="s">
        <v>239</v>
      </c>
      <c r="C73" s="134" t="s">
        <v>240</v>
      </c>
      <c r="D73" s="134"/>
      <c r="E73" s="134"/>
      <c r="F73" s="134" t="s">
        <v>241</v>
      </c>
      <c r="G73" s="134" t="s">
        <v>242</v>
      </c>
      <c r="H73" s="134" t="s">
        <v>15</v>
      </c>
      <c r="I73" s="134">
        <v>1848</v>
      </c>
      <c r="J73" s="2"/>
      <c r="K73" s="30"/>
      <c r="L73" s="30"/>
      <c r="M73" s="2"/>
      <c r="N73" s="30"/>
      <c r="O73" s="30"/>
      <c r="P73" s="2"/>
      <c r="Q73" s="2"/>
      <c r="R73" s="2"/>
      <c r="S73" s="2"/>
      <c r="T73" s="40"/>
      <c r="U73" s="40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135">
        <f t="shared" si="9"/>
        <v>0</v>
      </c>
      <c r="CE73" s="28"/>
      <c r="CF73" s="28"/>
      <c r="CG73" s="20"/>
      <c r="CH73" s="27" t="str">
        <f t="shared" si="10"/>
        <v>0</v>
      </c>
    </row>
    <row r="74" spans="1:86" ht="50.45" customHeight="1" x14ac:dyDescent="0.25">
      <c r="A74" s="63">
        <v>9</v>
      </c>
      <c r="B74" s="138" t="s">
        <v>239</v>
      </c>
      <c r="C74" s="134" t="s">
        <v>317</v>
      </c>
      <c r="D74" s="134">
        <v>8870655163</v>
      </c>
      <c r="E74" s="134" t="s">
        <v>318</v>
      </c>
      <c r="F74" s="134" t="s">
        <v>241</v>
      </c>
      <c r="G74" s="134" t="s">
        <v>242</v>
      </c>
      <c r="H74" s="134" t="s">
        <v>15</v>
      </c>
      <c r="I74" s="134">
        <v>1848</v>
      </c>
      <c r="J74" s="4"/>
      <c r="K74" s="31"/>
      <c r="L74" s="31"/>
      <c r="M74" s="31"/>
      <c r="N74" s="31"/>
      <c r="O74" s="31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135">
        <f t="shared" si="9"/>
        <v>0</v>
      </c>
      <c r="CE74" s="28"/>
      <c r="CF74" s="28"/>
      <c r="CG74" s="20"/>
      <c r="CH74" s="27" t="str">
        <f t="shared" si="10"/>
        <v>0</v>
      </c>
    </row>
    <row r="75" spans="1:86" ht="50.45" customHeight="1" x14ac:dyDescent="0.25">
      <c r="A75" s="63">
        <v>10</v>
      </c>
      <c r="B75" s="138" t="s">
        <v>239</v>
      </c>
      <c r="C75" s="134" t="s">
        <v>444</v>
      </c>
      <c r="D75" s="134">
        <v>9841336644</v>
      </c>
      <c r="E75" s="134" t="s">
        <v>318</v>
      </c>
      <c r="F75" s="134" t="s">
        <v>241</v>
      </c>
      <c r="G75" s="134" t="s">
        <v>242</v>
      </c>
      <c r="H75" s="134" t="s">
        <v>15</v>
      </c>
      <c r="I75" s="134">
        <v>1848</v>
      </c>
      <c r="J75" s="4"/>
      <c r="K75" s="31"/>
      <c r="L75" s="31"/>
      <c r="M75" s="31"/>
      <c r="N75" s="31"/>
      <c r="O75" s="31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135">
        <f t="shared" si="9"/>
        <v>0</v>
      </c>
      <c r="CE75" s="28"/>
      <c r="CF75" s="28"/>
      <c r="CG75" s="20"/>
      <c r="CH75" s="27" t="str">
        <f t="shared" si="10"/>
        <v>0</v>
      </c>
    </row>
    <row r="76" spans="1:86" ht="50.45" customHeight="1" x14ac:dyDescent="0.25">
      <c r="A76" s="63">
        <v>11</v>
      </c>
      <c r="B76" s="138" t="s">
        <v>239</v>
      </c>
      <c r="C76" s="134" t="s">
        <v>444</v>
      </c>
      <c r="D76" s="134">
        <v>9841336644</v>
      </c>
      <c r="E76" s="134" t="s">
        <v>318</v>
      </c>
      <c r="F76" s="134" t="s">
        <v>241</v>
      </c>
      <c r="G76" s="134" t="s">
        <v>242</v>
      </c>
      <c r="H76" s="134" t="s">
        <v>15</v>
      </c>
      <c r="I76" s="134">
        <v>1848</v>
      </c>
      <c r="J76" s="4"/>
      <c r="K76" s="31"/>
      <c r="L76" s="31"/>
      <c r="M76" s="31"/>
      <c r="N76" s="31"/>
      <c r="O76" s="31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135">
        <f t="shared" si="9"/>
        <v>0</v>
      </c>
      <c r="CE76" s="28"/>
      <c r="CF76" s="28"/>
      <c r="CG76" s="20"/>
      <c r="CH76" s="27" t="str">
        <f t="shared" si="10"/>
        <v>0</v>
      </c>
    </row>
    <row r="77" spans="1:86" ht="50.45" customHeight="1" x14ac:dyDescent="0.25">
      <c r="A77" s="63">
        <v>16</v>
      </c>
      <c r="B77" s="138" t="s">
        <v>243</v>
      </c>
      <c r="C77" s="134" t="s">
        <v>360</v>
      </c>
      <c r="D77" s="134"/>
      <c r="E77" s="134"/>
      <c r="F77" s="134" t="s">
        <v>245</v>
      </c>
      <c r="G77" s="134" t="s">
        <v>242</v>
      </c>
      <c r="H77" s="134" t="s">
        <v>15</v>
      </c>
      <c r="I77" s="134">
        <v>3000</v>
      </c>
      <c r="J77" s="4"/>
      <c r="K77" s="31"/>
      <c r="L77" s="31"/>
      <c r="M77" s="31"/>
      <c r="N77" s="31"/>
      <c r="O77" s="31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135">
        <f t="shared" si="9"/>
        <v>0</v>
      </c>
      <c r="CE77" s="28"/>
      <c r="CF77" s="28"/>
      <c r="CG77" s="20"/>
      <c r="CH77" s="27" t="str">
        <f t="shared" si="10"/>
        <v>0</v>
      </c>
    </row>
    <row r="78" spans="1:86" ht="50.45" customHeight="1" x14ac:dyDescent="0.25">
      <c r="A78" s="63">
        <v>17</v>
      </c>
      <c r="B78" s="138" t="s">
        <v>243</v>
      </c>
      <c r="C78" s="134" t="s">
        <v>360</v>
      </c>
      <c r="D78" s="134"/>
      <c r="E78" s="134" t="s">
        <v>266</v>
      </c>
      <c r="F78" s="134" t="s">
        <v>245</v>
      </c>
      <c r="G78" s="134" t="s">
        <v>242</v>
      </c>
      <c r="H78" s="134" t="s">
        <v>15</v>
      </c>
      <c r="I78" s="134">
        <v>3000</v>
      </c>
      <c r="J78" s="121"/>
      <c r="K78" s="31"/>
      <c r="L78" s="31"/>
      <c r="M78" s="31"/>
      <c r="N78" s="31"/>
      <c r="O78" s="31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135">
        <f t="shared" si="9"/>
        <v>0</v>
      </c>
      <c r="CE78" s="28"/>
      <c r="CF78" s="28"/>
      <c r="CG78" s="20"/>
      <c r="CH78" s="27" t="str">
        <f t="shared" si="10"/>
        <v>0</v>
      </c>
    </row>
    <row r="79" spans="1:86" ht="50.45" customHeight="1" x14ac:dyDescent="0.25">
      <c r="A79" s="63">
        <v>19</v>
      </c>
      <c r="B79" s="138" t="s">
        <v>417</v>
      </c>
      <c r="C79" s="134" t="s">
        <v>418</v>
      </c>
      <c r="D79" s="134">
        <v>9442190071</v>
      </c>
      <c r="E79" s="134" t="s">
        <v>419</v>
      </c>
      <c r="F79" s="134"/>
      <c r="G79" s="134" t="s">
        <v>242</v>
      </c>
      <c r="H79" s="134" t="s">
        <v>30</v>
      </c>
      <c r="I79" s="134">
        <v>700</v>
      </c>
      <c r="J79" s="2"/>
      <c r="K79" s="32"/>
      <c r="L79" s="32"/>
      <c r="M79" s="2"/>
      <c r="N79" s="32"/>
      <c r="O79" s="32"/>
      <c r="P79" s="2"/>
      <c r="Q79" s="2"/>
      <c r="R79" s="2"/>
      <c r="S79" s="40"/>
      <c r="T79" s="40"/>
      <c r="U79" s="40"/>
      <c r="V79" s="2"/>
      <c r="W79" s="2"/>
      <c r="X79" s="2"/>
      <c r="Y79" s="2"/>
      <c r="Z79" s="2"/>
      <c r="AA79" s="2"/>
      <c r="AB79" s="2"/>
      <c r="AC79" s="5"/>
      <c r="AD79" s="5"/>
      <c r="AE79" s="2"/>
      <c r="AF79" s="2"/>
      <c r="AG79" s="2"/>
      <c r="AH79" s="16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135">
        <f t="shared" si="9"/>
        <v>0</v>
      </c>
      <c r="CE79" s="28"/>
      <c r="CF79" s="28"/>
      <c r="CG79" s="20"/>
      <c r="CH79" s="27" t="str">
        <f t="shared" si="10"/>
        <v>0</v>
      </c>
    </row>
    <row r="80" spans="1:86" ht="50.45" customHeight="1" x14ac:dyDescent="0.25">
      <c r="A80" s="63">
        <v>21</v>
      </c>
      <c r="B80" s="138" t="s">
        <v>386</v>
      </c>
      <c r="C80" s="134" t="s">
        <v>387</v>
      </c>
      <c r="D80" s="134" t="s">
        <v>388</v>
      </c>
      <c r="E80" s="134" t="s">
        <v>389</v>
      </c>
      <c r="F80" s="134"/>
      <c r="G80" s="134" t="s">
        <v>242</v>
      </c>
      <c r="H80" s="134" t="s">
        <v>30</v>
      </c>
      <c r="I80" s="134">
        <v>1800</v>
      </c>
      <c r="J80" s="2"/>
      <c r="K80" s="30"/>
      <c r="L80" s="30"/>
      <c r="M80" s="30"/>
      <c r="N80" s="2"/>
      <c r="O80" s="30"/>
      <c r="P80" s="2"/>
      <c r="Q80" s="2"/>
      <c r="R80" s="2"/>
      <c r="S80" s="40"/>
      <c r="T80" s="40"/>
      <c r="U80" s="40"/>
      <c r="V80" s="2"/>
      <c r="W80" s="2"/>
      <c r="X80" s="2"/>
      <c r="Y80" s="2"/>
      <c r="Z80" s="2"/>
      <c r="AA80" s="2"/>
      <c r="AB80" s="14"/>
      <c r="AC80" s="5"/>
      <c r="AD80" s="5"/>
      <c r="AE80" s="14"/>
      <c r="AF80" s="5"/>
      <c r="AG80" s="2"/>
      <c r="AH80" s="16"/>
      <c r="AI80" s="16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16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135">
        <f t="shared" si="9"/>
        <v>0</v>
      </c>
      <c r="CE80" s="28"/>
      <c r="CF80" s="28"/>
      <c r="CG80" s="20"/>
      <c r="CH80" s="27" t="str">
        <f t="shared" si="10"/>
        <v>0</v>
      </c>
    </row>
    <row r="81" spans="1:86" ht="50.45" customHeight="1" x14ac:dyDescent="0.25">
      <c r="A81" s="63">
        <v>22</v>
      </c>
      <c r="B81" s="138" t="s">
        <v>396</v>
      </c>
      <c r="C81" s="134" t="s">
        <v>397</v>
      </c>
      <c r="D81" s="134" t="s">
        <v>398</v>
      </c>
      <c r="E81" s="134" t="s">
        <v>399</v>
      </c>
      <c r="F81" s="134"/>
      <c r="G81" s="134" t="s">
        <v>242</v>
      </c>
      <c r="H81" s="134" t="s">
        <v>30</v>
      </c>
      <c r="I81" s="134">
        <v>1500</v>
      </c>
      <c r="J81" s="4"/>
      <c r="K81" s="31"/>
      <c r="L81" s="31"/>
      <c r="M81" s="32"/>
      <c r="N81" s="31"/>
      <c r="O81" s="31"/>
      <c r="P81" s="2"/>
      <c r="Q81" s="38"/>
      <c r="R81" s="38"/>
      <c r="S81" s="40"/>
      <c r="T81" s="38"/>
      <c r="U81" s="38"/>
      <c r="V81" s="2"/>
      <c r="W81" s="38"/>
      <c r="X81" s="38"/>
      <c r="Y81" s="2"/>
      <c r="Z81" s="38"/>
      <c r="AA81" s="38"/>
      <c r="AB81" s="2"/>
      <c r="AC81" s="38"/>
      <c r="AD81" s="38"/>
      <c r="AE81" s="5"/>
      <c r="AF81" s="5"/>
      <c r="AG81" s="5"/>
      <c r="AH81" s="2"/>
      <c r="AI81" s="5"/>
      <c r="AJ81" s="5"/>
      <c r="AK81" s="2"/>
      <c r="AL81" s="5"/>
      <c r="AM81" s="5"/>
      <c r="AN81" s="14"/>
      <c r="AO81" s="5"/>
      <c r="AP81" s="5"/>
      <c r="AQ81" s="14"/>
      <c r="AR81" s="5"/>
      <c r="AS81" s="5"/>
      <c r="AT81" s="2"/>
      <c r="AU81" s="5"/>
      <c r="AV81" s="5"/>
      <c r="AW81" s="2"/>
      <c r="AX81" s="5"/>
      <c r="AY81" s="5"/>
      <c r="AZ81" s="2"/>
      <c r="BA81" s="5"/>
      <c r="BB81" s="5"/>
      <c r="BC81" s="2"/>
      <c r="BD81" s="5"/>
      <c r="BE81" s="5"/>
      <c r="BF81" s="5"/>
      <c r="BG81" s="5"/>
      <c r="BH81" s="5"/>
      <c r="BI81" s="2"/>
      <c r="BJ81" s="5"/>
      <c r="BK81" s="5"/>
      <c r="BL81" s="5"/>
      <c r="BM81" s="5"/>
      <c r="BN81" s="5"/>
      <c r="BO81" s="2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135">
        <f t="shared" si="9"/>
        <v>0</v>
      </c>
      <c r="CE81" s="28"/>
      <c r="CF81" s="28"/>
      <c r="CG81" s="20"/>
      <c r="CH81" s="27" t="str">
        <f t="shared" si="10"/>
        <v>0</v>
      </c>
    </row>
    <row r="82" spans="1:86" ht="50.45" customHeight="1" x14ac:dyDescent="0.25">
      <c r="A82" s="63">
        <v>23</v>
      </c>
      <c r="B82" s="138" t="s">
        <v>337</v>
      </c>
      <c r="C82" s="134" t="s">
        <v>338</v>
      </c>
      <c r="D82" s="134">
        <v>9578727026</v>
      </c>
      <c r="E82" s="134" t="s">
        <v>339</v>
      </c>
      <c r="F82" s="134"/>
      <c r="G82" s="134" t="s">
        <v>242</v>
      </c>
      <c r="H82" s="134" t="s">
        <v>30</v>
      </c>
      <c r="I82" s="134">
        <v>800</v>
      </c>
      <c r="J82" s="4"/>
      <c r="K82" s="31"/>
      <c r="L82" s="31"/>
      <c r="M82" s="31"/>
      <c r="N82" s="31"/>
      <c r="O82" s="31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135">
        <f t="shared" si="9"/>
        <v>0</v>
      </c>
      <c r="CE82" s="28"/>
      <c r="CF82" s="28"/>
      <c r="CG82" s="20"/>
      <c r="CH82" s="27" t="str">
        <f t="shared" si="10"/>
        <v>0</v>
      </c>
    </row>
    <row r="83" spans="1:86" ht="50.45" customHeight="1" x14ac:dyDescent="0.25">
      <c r="A83" s="63">
        <v>25</v>
      </c>
      <c r="B83" s="138" t="s">
        <v>334</v>
      </c>
      <c r="C83" s="134" t="s">
        <v>335</v>
      </c>
      <c r="D83" s="134">
        <v>9500533566</v>
      </c>
      <c r="E83" s="134" t="s">
        <v>336</v>
      </c>
      <c r="F83" s="134"/>
      <c r="G83" s="134" t="s">
        <v>242</v>
      </c>
      <c r="H83" s="134" t="s">
        <v>30</v>
      </c>
      <c r="I83" s="134">
        <v>1400</v>
      </c>
      <c r="J83" s="2"/>
      <c r="K83" s="2"/>
      <c r="L83" s="30"/>
      <c r="M83" s="2"/>
      <c r="N83" s="16"/>
      <c r="O83" s="30"/>
      <c r="P83" s="2"/>
      <c r="Q83" s="2"/>
      <c r="R83" s="136"/>
      <c r="S83" s="40"/>
      <c r="T83" s="40"/>
      <c r="U83" s="40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16"/>
      <c r="AR83" s="2"/>
      <c r="AS83" s="2"/>
      <c r="AT83" s="2"/>
      <c r="AU83" s="2"/>
      <c r="AV83" s="2"/>
      <c r="AW83" s="2"/>
      <c r="AX83" s="2"/>
      <c r="AY83" s="2"/>
      <c r="AZ83" s="2" t="s">
        <v>31</v>
      </c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135">
        <f t="shared" si="9"/>
        <v>1</v>
      </c>
      <c r="CE83" s="28"/>
      <c r="CF83" s="28"/>
      <c r="CG83" s="20" t="s">
        <v>1010</v>
      </c>
      <c r="CH83" s="27" t="str">
        <f t="shared" si="10"/>
        <v>1</v>
      </c>
    </row>
    <row r="84" spans="1:86" ht="50.45" customHeight="1" x14ac:dyDescent="0.25">
      <c r="A84" s="63">
        <v>26</v>
      </c>
      <c r="B84" s="138" t="s">
        <v>326</v>
      </c>
      <c r="C84" s="134" t="s">
        <v>327</v>
      </c>
      <c r="D84" s="134" t="s">
        <v>328</v>
      </c>
      <c r="E84" s="134" t="s">
        <v>329</v>
      </c>
      <c r="F84" s="134"/>
      <c r="G84" s="134" t="s">
        <v>242</v>
      </c>
      <c r="H84" s="134" t="s">
        <v>30</v>
      </c>
      <c r="I84" s="134">
        <v>800</v>
      </c>
      <c r="J84" s="4"/>
      <c r="K84" s="31"/>
      <c r="L84" s="31"/>
      <c r="M84" s="31"/>
      <c r="N84" s="31"/>
      <c r="O84" s="31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135">
        <f t="shared" si="9"/>
        <v>0</v>
      </c>
      <c r="CE84" s="28"/>
      <c r="CF84" s="28"/>
      <c r="CG84" s="20"/>
      <c r="CH84" s="27" t="str">
        <f t="shared" si="10"/>
        <v>0</v>
      </c>
    </row>
    <row r="85" spans="1:86" ht="50.45" customHeight="1" x14ac:dyDescent="0.25">
      <c r="A85" s="63">
        <v>32</v>
      </c>
      <c r="B85" s="138" t="s">
        <v>438</v>
      </c>
      <c r="C85" s="134" t="s">
        <v>538</v>
      </c>
      <c r="D85" s="134"/>
      <c r="E85" s="134"/>
      <c r="F85" s="134" t="s">
        <v>241</v>
      </c>
      <c r="G85" s="134" t="s">
        <v>242</v>
      </c>
      <c r="H85" s="134" t="s">
        <v>30</v>
      </c>
      <c r="I85" s="134">
        <v>1000</v>
      </c>
      <c r="J85" s="38"/>
      <c r="K85" s="99"/>
      <c r="L85" s="99"/>
      <c r="M85" s="99"/>
      <c r="N85" s="99"/>
      <c r="O85" s="99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135">
        <f t="shared" si="9"/>
        <v>0</v>
      </c>
      <c r="CE85" s="28"/>
      <c r="CF85" s="28"/>
      <c r="CG85" s="20"/>
      <c r="CH85" s="27" t="str">
        <f t="shared" si="10"/>
        <v>0</v>
      </c>
    </row>
    <row r="86" spans="1:86" ht="50.45" customHeight="1" x14ac:dyDescent="0.25">
      <c r="A86" s="63">
        <v>33</v>
      </c>
      <c r="B86" s="138" t="s">
        <v>423</v>
      </c>
      <c r="C86" s="134" t="s">
        <v>424</v>
      </c>
      <c r="D86" s="134" t="s">
        <v>425</v>
      </c>
      <c r="E86" s="134" t="s">
        <v>426</v>
      </c>
      <c r="F86" s="134"/>
      <c r="G86" s="134" t="s">
        <v>242</v>
      </c>
      <c r="H86" s="134" t="s">
        <v>30</v>
      </c>
      <c r="I86" s="134">
        <v>600</v>
      </c>
      <c r="J86" s="4"/>
      <c r="K86" s="31"/>
      <c r="L86" s="31"/>
      <c r="M86" s="31"/>
      <c r="N86" s="31"/>
      <c r="O86" s="31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135">
        <f t="shared" si="9"/>
        <v>0</v>
      </c>
      <c r="CE86" s="28"/>
      <c r="CF86" s="28"/>
      <c r="CG86" s="20"/>
      <c r="CH86" s="27" t="str">
        <f t="shared" si="10"/>
        <v>0</v>
      </c>
    </row>
    <row r="87" spans="1:86" ht="50.45" customHeight="1" x14ac:dyDescent="0.25">
      <c r="A87" s="63">
        <v>34</v>
      </c>
      <c r="B87" s="138" t="s">
        <v>400</v>
      </c>
      <c r="C87" s="134" t="s">
        <v>401</v>
      </c>
      <c r="D87" s="134" t="s">
        <v>402</v>
      </c>
      <c r="E87" s="134" t="s">
        <v>403</v>
      </c>
      <c r="F87" s="134"/>
      <c r="G87" s="134" t="s">
        <v>242</v>
      </c>
      <c r="H87" s="134" t="s">
        <v>30</v>
      </c>
      <c r="I87" s="134">
        <v>700</v>
      </c>
      <c r="J87" s="2"/>
      <c r="K87" s="32"/>
      <c r="L87" s="32"/>
      <c r="M87" s="2"/>
      <c r="N87" s="2"/>
      <c r="O87" s="32"/>
      <c r="P87" s="2"/>
      <c r="Q87" s="14"/>
      <c r="R87" s="14"/>
      <c r="S87" s="40"/>
      <c r="T87" s="40"/>
      <c r="U87" s="40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16"/>
      <c r="AI87" s="16"/>
      <c r="AJ87" s="2"/>
      <c r="AK87" s="16"/>
      <c r="AL87" s="16"/>
      <c r="AM87" s="2"/>
      <c r="AN87" s="2"/>
      <c r="AO87" s="2"/>
      <c r="AP87" s="16"/>
      <c r="AQ87" s="16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135">
        <f t="shared" si="9"/>
        <v>0</v>
      </c>
      <c r="CE87" s="28"/>
      <c r="CF87" s="28"/>
      <c r="CG87" s="20"/>
      <c r="CH87" s="27" t="str">
        <f t="shared" si="10"/>
        <v>0</v>
      </c>
    </row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G157"/>
  <sheetViews>
    <sheetView zoomScale="70" zoomScaleNormal="70" workbookViewId="0">
      <pane xSplit="8" ySplit="3" topLeftCell="I4" activePane="bottomRight" state="frozen"/>
      <selection activeCell="BT13" sqref="BT13"/>
      <selection pane="topRight" activeCell="BT13" sqref="BT13"/>
      <selection pane="bottomLeft" activeCell="BT13" sqref="BT13"/>
      <selection pane="bottomRight"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16.855468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62" width="5.28515625" style="6" hidden="1" customWidth="1"/>
    <col min="63" max="63" width="5.85546875" style="6" hidden="1" customWidth="1"/>
    <col min="64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87" width="22.7109375" style="13" customWidth="1"/>
    <col min="88" max="16384" width="9.140625" style="13"/>
  </cols>
  <sheetData>
    <row r="1" spans="1:111" s="29" customFormat="1" ht="33.75" customHeight="1" thickBot="1" x14ac:dyDescent="0.3">
      <c r="A1" s="398" t="s">
        <v>951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18" customHeight="1" thickBot="1" x14ac:dyDescent="0.3">
      <c r="A2" s="387" t="s">
        <v>16</v>
      </c>
      <c r="B2" s="392" t="s">
        <v>0</v>
      </c>
      <c r="C2" s="176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78" t="s">
        <v>12</v>
      </c>
      <c r="AO3" s="175" t="s">
        <v>13</v>
      </c>
      <c r="AP3" s="175" t="s">
        <v>32</v>
      </c>
      <c r="AQ3" s="175" t="s">
        <v>12</v>
      </c>
      <c r="AR3" s="175" t="s">
        <v>13</v>
      </c>
      <c r="AS3" s="177" t="s">
        <v>32</v>
      </c>
      <c r="AT3" s="58" t="s">
        <v>12</v>
      </c>
      <c r="AU3" s="102" t="s">
        <v>13</v>
      </c>
      <c r="AV3" s="49" t="s">
        <v>32</v>
      </c>
      <c r="AW3" s="178" t="s">
        <v>12</v>
      </c>
      <c r="AX3" s="175" t="s">
        <v>13</v>
      </c>
      <c r="AY3" s="177" t="s">
        <v>32</v>
      </c>
      <c r="AZ3" s="175" t="s">
        <v>12</v>
      </c>
      <c r="BA3" s="175" t="s">
        <v>13</v>
      </c>
      <c r="BB3" s="175" t="s">
        <v>32</v>
      </c>
      <c r="BC3" s="175" t="s">
        <v>12</v>
      </c>
      <c r="BD3" s="175" t="s">
        <v>13</v>
      </c>
      <c r="BE3" s="177" t="s">
        <v>32</v>
      </c>
      <c r="BF3" s="175" t="s">
        <v>12</v>
      </c>
      <c r="BG3" s="175" t="s">
        <v>13</v>
      </c>
      <c r="BH3" s="177" t="s">
        <v>32</v>
      </c>
      <c r="BI3" s="175" t="s">
        <v>12</v>
      </c>
      <c r="BJ3" s="175" t="s">
        <v>13</v>
      </c>
      <c r="BK3" s="177" t="s">
        <v>32</v>
      </c>
      <c r="BL3" s="61" t="s">
        <v>12</v>
      </c>
      <c r="BM3" s="175" t="s">
        <v>13</v>
      </c>
      <c r="BN3" s="177" t="s">
        <v>32</v>
      </c>
      <c r="BO3" s="175" t="s">
        <v>12</v>
      </c>
      <c r="BP3" s="175" t="s">
        <v>13</v>
      </c>
      <c r="BQ3" s="177" t="s">
        <v>32</v>
      </c>
      <c r="BR3" s="175" t="s">
        <v>12</v>
      </c>
      <c r="BS3" s="175" t="s">
        <v>13</v>
      </c>
      <c r="BT3" s="177" t="s">
        <v>32</v>
      </c>
      <c r="BU3" s="175" t="s">
        <v>12</v>
      </c>
      <c r="BV3" s="175" t="s">
        <v>13</v>
      </c>
      <c r="BW3" s="177" t="s">
        <v>32</v>
      </c>
      <c r="BX3" s="175" t="s">
        <v>12</v>
      </c>
      <c r="BY3" s="175" t="s">
        <v>13</v>
      </c>
      <c r="BZ3" s="177" t="s">
        <v>32</v>
      </c>
      <c r="CA3" s="175" t="s">
        <v>12</v>
      </c>
      <c r="CB3" s="175" t="s">
        <v>13</v>
      </c>
      <c r="CC3" s="177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63">
        <f>ROW()-3</f>
        <v>1</v>
      </c>
      <c r="B4" s="138" t="s">
        <v>224</v>
      </c>
      <c r="C4" s="134"/>
      <c r="D4" s="134"/>
      <c r="E4" s="134"/>
      <c r="F4" s="134" t="s">
        <v>225</v>
      </c>
      <c r="G4" s="134" t="s">
        <v>226</v>
      </c>
      <c r="H4" s="134" t="s">
        <v>15</v>
      </c>
      <c r="I4" s="134">
        <v>1500</v>
      </c>
      <c r="J4" s="2"/>
      <c r="K4" s="2"/>
      <c r="L4" s="2"/>
      <c r="M4" s="2"/>
      <c r="N4" s="2"/>
      <c r="O4" s="2"/>
      <c r="P4" s="2" t="s">
        <v>31</v>
      </c>
      <c r="Q4" s="2"/>
      <c r="R4" s="2"/>
      <c r="S4" s="2" t="s">
        <v>31</v>
      </c>
      <c r="T4" s="2"/>
      <c r="U4" s="2"/>
      <c r="V4" s="2"/>
      <c r="W4" s="2"/>
      <c r="X4" s="2"/>
      <c r="Y4" s="2" t="s">
        <v>31</v>
      </c>
      <c r="Z4" s="2" t="s">
        <v>31</v>
      </c>
      <c r="AA4" s="2"/>
      <c r="AB4" s="2" t="s">
        <v>31</v>
      </c>
      <c r="AC4" s="2"/>
      <c r="AD4" s="2"/>
      <c r="AE4" s="2" t="s">
        <v>31</v>
      </c>
      <c r="AF4" s="2" t="s">
        <v>31</v>
      </c>
      <c r="AG4" s="2"/>
      <c r="AH4" s="2"/>
      <c r="AI4" s="2"/>
      <c r="AJ4" s="2"/>
      <c r="AK4" s="2"/>
      <c r="AL4" s="2"/>
      <c r="AM4" s="2"/>
      <c r="AN4" s="2"/>
      <c r="AO4" s="5"/>
      <c r="AP4" s="5"/>
      <c r="AQ4" s="78"/>
      <c r="AR4" s="5"/>
      <c r="AS4" s="5"/>
      <c r="AT4" s="14"/>
      <c r="AU4" s="5"/>
      <c r="AV4" s="5"/>
      <c r="AW4" s="5"/>
      <c r="AX4" s="5"/>
      <c r="AY4" s="5"/>
      <c r="AZ4" s="2"/>
      <c r="BA4" s="5"/>
      <c r="BB4" s="5"/>
      <c r="BC4" s="5"/>
      <c r="BD4" s="2"/>
      <c r="BE4" s="5"/>
      <c r="BF4" s="14" t="s">
        <v>31</v>
      </c>
      <c r="BG4" s="5"/>
      <c r="BH4" s="5"/>
      <c r="BI4" s="14"/>
      <c r="BJ4" s="5"/>
      <c r="BK4" s="5"/>
      <c r="BL4" s="2" t="s">
        <v>31</v>
      </c>
      <c r="BM4" s="5"/>
      <c r="BN4" s="5"/>
      <c r="BO4" s="14" t="s">
        <v>31</v>
      </c>
      <c r="BP4" s="5"/>
      <c r="BQ4" s="5"/>
      <c r="BR4" s="2"/>
      <c r="BS4" s="5"/>
      <c r="BT4" s="5"/>
      <c r="BU4" s="14" t="s">
        <v>31</v>
      </c>
      <c r="BV4" s="14" t="s">
        <v>31</v>
      </c>
      <c r="BW4" s="5"/>
      <c r="BX4" s="14"/>
      <c r="BY4" s="5"/>
      <c r="BZ4" s="5"/>
      <c r="CA4" s="2"/>
      <c r="CB4" s="5"/>
      <c r="CC4" s="5"/>
      <c r="CD4" s="135">
        <f t="shared" ref="CD4:CD25" si="0">COUNTA(J4:CC4)</f>
        <v>12</v>
      </c>
      <c r="CE4" s="28" t="s">
        <v>692</v>
      </c>
      <c r="CF4" s="28"/>
      <c r="CG4" s="20" t="s">
        <v>1064</v>
      </c>
      <c r="CH4" s="27" t="str">
        <f t="shared" ref="CH4:CH58" si="1">IF(CD4&lt;=0,"0",IF(CD4=1,"1",IF(CD4=2,"2",IF(CD4=3,"3",IF(CD4&gt;=4,"4")))))</f>
        <v>4</v>
      </c>
    </row>
    <row r="5" spans="1:111" ht="50.45" customHeight="1" x14ac:dyDescent="0.25">
      <c r="A5" s="63">
        <f t="shared" ref="A5:A130" si="2">ROW()-3</f>
        <v>2</v>
      </c>
      <c r="B5" s="138" t="s">
        <v>369</v>
      </c>
      <c r="C5" s="134" t="s">
        <v>523</v>
      </c>
      <c r="D5" s="134">
        <v>9566239282</v>
      </c>
      <c r="E5" s="134"/>
      <c r="F5" s="134"/>
      <c r="G5" s="134" t="s">
        <v>226</v>
      </c>
      <c r="H5" s="134" t="s">
        <v>15</v>
      </c>
      <c r="I5" s="134">
        <v>560</v>
      </c>
      <c r="J5" s="2"/>
      <c r="K5" s="2"/>
      <c r="L5" s="2"/>
      <c r="M5" s="2" t="s">
        <v>31</v>
      </c>
      <c r="N5" s="2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 t="s">
        <v>31</v>
      </c>
      <c r="AC5" s="2" t="s">
        <v>31</v>
      </c>
      <c r="AD5" s="2"/>
      <c r="AE5" s="2" t="s">
        <v>31</v>
      </c>
      <c r="AF5" s="2" t="s">
        <v>31</v>
      </c>
      <c r="AG5" s="2"/>
      <c r="AH5" s="2" t="s">
        <v>31</v>
      </c>
      <c r="AI5" s="2"/>
      <c r="AJ5" s="2"/>
      <c r="AK5" s="2" t="s">
        <v>31</v>
      </c>
      <c r="AL5" s="2"/>
      <c r="AM5" s="2"/>
      <c r="AN5" s="2" t="s">
        <v>31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14" t="s">
        <v>31</v>
      </c>
      <c r="BG5" s="14" t="s">
        <v>31</v>
      </c>
      <c r="BH5" s="5"/>
      <c r="BI5" s="14" t="s">
        <v>31</v>
      </c>
      <c r="BJ5" s="5"/>
      <c r="BK5" s="5"/>
      <c r="BL5" s="2" t="s">
        <v>31</v>
      </c>
      <c r="BM5" s="5"/>
      <c r="BN5" s="5"/>
      <c r="BO5" s="2" t="s">
        <v>31</v>
      </c>
      <c r="BP5" s="5"/>
      <c r="BQ5" s="5"/>
      <c r="BR5" s="5"/>
      <c r="BS5" s="5"/>
      <c r="BT5" s="5"/>
      <c r="BU5" s="14" t="s">
        <v>31</v>
      </c>
      <c r="BV5" s="14" t="s">
        <v>31</v>
      </c>
      <c r="BW5" s="5"/>
      <c r="BX5" s="2" t="s">
        <v>31</v>
      </c>
      <c r="BY5" s="5"/>
      <c r="BZ5" s="5"/>
      <c r="CA5" s="5"/>
      <c r="CB5" s="5"/>
      <c r="CC5" s="5"/>
      <c r="CD5" s="135">
        <f t="shared" si="0"/>
        <v>17</v>
      </c>
      <c r="CE5" s="28" t="s">
        <v>781</v>
      </c>
      <c r="CF5" s="28" t="s">
        <v>718</v>
      </c>
      <c r="CG5" s="20" t="s">
        <v>1082</v>
      </c>
      <c r="CH5" s="27" t="str">
        <f t="shared" ref="CH5:CH17" si="3">IF(CD5&lt;=0,"0",IF(CD5=1,"1",IF(CD5=2,"2",IF(CD5=3,"3",IF(CD5&gt;=4,"4")))))</f>
        <v>4</v>
      </c>
    </row>
    <row r="6" spans="1:111" ht="50.45" customHeight="1" x14ac:dyDescent="0.25">
      <c r="A6" s="63">
        <f t="shared" si="2"/>
        <v>3</v>
      </c>
      <c r="B6" s="138" t="s">
        <v>250</v>
      </c>
      <c r="C6" s="134" t="s">
        <v>251</v>
      </c>
      <c r="D6" s="134"/>
      <c r="E6" s="134"/>
      <c r="F6" s="134" t="s">
        <v>252</v>
      </c>
      <c r="G6" s="134" t="s">
        <v>226</v>
      </c>
      <c r="H6" s="134" t="s">
        <v>15</v>
      </c>
      <c r="I6" s="134">
        <v>1050</v>
      </c>
      <c r="J6" s="2"/>
      <c r="K6" s="2"/>
      <c r="L6" s="2"/>
      <c r="M6" s="2"/>
      <c r="N6" s="2"/>
      <c r="O6" s="2"/>
      <c r="P6" s="2" t="s">
        <v>31</v>
      </c>
      <c r="Q6" s="2"/>
      <c r="R6" s="2"/>
      <c r="S6" s="2" t="s">
        <v>31</v>
      </c>
      <c r="T6" s="2"/>
      <c r="U6" s="2"/>
      <c r="V6" s="2" t="s">
        <v>31</v>
      </c>
      <c r="W6" s="2" t="s">
        <v>31</v>
      </c>
      <c r="X6" s="2"/>
      <c r="Y6" s="2" t="s">
        <v>31</v>
      </c>
      <c r="Z6" s="2" t="s">
        <v>31</v>
      </c>
      <c r="AA6" s="2" t="s">
        <v>670</v>
      </c>
      <c r="AB6" s="2" t="s">
        <v>31</v>
      </c>
      <c r="AC6" s="2"/>
      <c r="AD6" s="2"/>
      <c r="AE6" s="2"/>
      <c r="AF6" s="2"/>
      <c r="AG6" s="2"/>
      <c r="AH6" s="2"/>
      <c r="AI6" s="2"/>
      <c r="AJ6" s="2"/>
      <c r="AK6" s="2" t="s">
        <v>31</v>
      </c>
      <c r="AL6" s="2"/>
      <c r="AM6" s="2"/>
      <c r="AN6" s="2" t="s">
        <v>31</v>
      </c>
      <c r="AO6" s="2"/>
      <c r="AP6" s="2"/>
      <c r="AQ6" s="16" t="s">
        <v>31</v>
      </c>
      <c r="AR6" s="2"/>
      <c r="AS6" s="2"/>
      <c r="AT6" s="2"/>
      <c r="AU6" s="2"/>
      <c r="AV6" s="2"/>
      <c r="AW6" s="2" t="s">
        <v>31</v>
      </c>
      <c r="AX6" s="2"/>
      <c r="AY6" s="2"/>
      <c r="AZ6" s="2" t="s">
        <v>31</v>
      </c>
      <c r="BA6" s="2"/>
      <c r="BB6" s="2"/>
      <c r="BC6" s="2" t="s">
        <v>31</v>
      </c>
      <c r="BD6" s="2"/>
      <c r="BE6" s="2"/>
      <c r="BF6" s="2" t="s">
        <v>31</v>
      </c>
      <c r="BG6" s="2"/>
      <c r="BH6" s="2"/>
      <c r="BI6" s="2"/>
      <c r="BJ6" s="2"/>
      <c r="BK6" s="2"/>
      <c r="BL6" s="2" t="s">
        <v>31</v>
      </c>
      <c r="BM6" s="2"/>
      <c r="BN6" s="2"/>
      <c r="BO6" s="2"/>
      <c r="BP6" s="2"/>
      <c r="BQ6" s="2"/>
      <c r="BR6" s="2"/>
      <c r="BS6" s="2"/>
      <c r="BT6" s="2"/>
      <c r="BU6" s="2" t="s">
        <v>31</v>
      </c>
      <c r="BV6" s="2"/>
      <c r="BW6" s="2"/>
      <c r="BX6" s="2" t="s">
        <v>31</v>
      </c>
      <c r="BY6" s="2"/>
      <c r="BZ6" s="2"/>
      <c r="CA6" s="2"/>
      <c r="CB6" s="2"/>
      <c r="CC6" s="2"/>
      <c r="CD6" s="135">
        <f t="shared" si="0"/>
        <v>18</v>
      </c>
      <c r="CE6" s="28" t="s">
        <v>929</v>
      </c>
      <c r="CF6" s="28" t="s">
        <v>671</v>
      </c>
      <c r="CG6" s="20" t="s">
        <v>1083</v>
      </c>
      <c r="CH6" s="27" t="str">
        <f t="shared" si="3"/>
        <v>4</v>
      </c>
    </row>
    <row r="7" spans="1:111" ht="50.45" customHeight="1" x14ac:dyDescent="0.25">
      <c r="A7" s="63">
        <f t="shared" si="2"/>
        <v>4</v>
      </c>
      <c r="B7" s="138" t="s">
        <v>481</v>
      </c>
      <c r="C7" s="134" t="s">
        <v>482</v>
      </c>
      <c r="D7" s="134">
        <v>9597556849</v>
      </c>
      <c r="E7" s="134" t="s">
        <v>483</v>
      </c>
      <c r="F7" s="134"/>
      <c r="G7" s="134" t="s">
        <v>226</v>
      </c>
      <c r="H7" s="134" t="s">
        <v>15</v>
      </c>
      <c r="I7" s="134">
        <v>900</v>
      </c>
      <c r="J7" s="2"/>
      <c r="K7" s="2"/>
      <c r="L7" s="2"/>
      <c r="M7" s="2" t="s">
        <v>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31</v>
      </c>
      <c r="AF7" s="2" t="s">
        <v>31</v>
      </c>
      <c r="AG7" s="2"/>
      <c r="AH7" s="2"/>
      <c r="AI7" s="2"/>
      <c r="AJ7" s="2"/>
      <c r="AK7" s="2"/>
      <c r="AL7" s="2"/>
      <c r="AM7" s="2"/>
      <c r="AN7" s="14" t="s">
        <v>31</v>
      </c>
      <c r="AO7" s="14" t="s">
        <v>31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2" t="s">
        <v>31</v>
      </c>
      <c r="BD7" s="5"/>
      <c r="BE7" s="5"/>
      <c r="BF7" s="5"/>
      <c r="BG7" s="5"/>
      <c r="BH7" s="5"/>
      <c r="BI7" s="14" t="s">
        <v>31</v>
      </c>
      <c r="BJ7" s="5"/>
      <c r="BK7" s="5"/>
      <c r="BL7" s="2" t="s">
        <v>31</v>
      </c>
      <c r="BM7" s="5"/>
      <c r="BN7" s="5"/>
      <c r="BO7" s="5"/>
      <c r="BP7" s="5"/>
      <c r="BQ7" s="5"/>
      <c r="BR7" s="14" t="s">
        <v>31</v>
      </c>
      <c r="BS7" s="5"/>
      <c r="BT7" s="5"/>
      <c r="BU7" s="2" t="s">
        <v>31</v>
      </c>
      <c r="BV7" s="5"/>
      <c r="BW7" s="5"/>
      <c r="BX7" s="5"/>
      <c r="BY7" s="5"/>
      <c r="BZ7" s="5"/>
      <c r="CA7" s="5"/>
      <c r="CB7" s="5"/>
      <c r="CC7" s="5"/>
      <c r="CD7" s="135">
        <f t="shared" si="0"/>
        <v>10</v>
      </c>
      <c r="CE7" s="28" t="s">
        <v>847</v>
      </c>
      <c r="CF7" s="28" t="s">
        <v>708</v>
      </c>
      <c r="CG7" s="20" t="s">
        <v>1060</v>
      </c>
      <c r="CH7" s="27" t="str">
        <f t="shared" si="3"/>
        <v>4</v>
      </c>
    </row>
    <row r="8" spans="1:111" ht="50.45" customHeight="1" x14ac:dyDescent="0.25">
      <c r="A8" s="63">
        <f t="shared" si="2"/>
        <v>5</v>
      </c>
      <c r="B8" s="299" t="s">
        <v>460</v>
      </c>
      <c r="C8" s="134" t="s">
        <v>539</v>
      </c>
      <c r="D8" s="134">
        <v>9790318676</v>
      </c>
      <c r="E8" s="134"/>
      <c r="F8" s="134"/>
      <c r="G8" s="134" t="s">
        <v>226</v>
      </c>
      <c r="H8" s="134" t="s">
        <v>15</v>
      </c>
      <c r="I8" s="134">
        <v>3000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31</v>
      </c>
      <c r="AC8" s="2"/>
      <c r="AD8" s="2"/>
      <c r="AE8" s="2" t="s">
        <v>31</v>
      </c>
      <c r="AF8" s="2" t="s">
        <v>31</v>
      </c>
      <c r="AG8" s="2" t="s">
        <v>31</v>
      </c>
      <c r="AH8" s="2"/>
      <c r="AI8" s="2"/>
      <c r="AJ8" s="2"/>
      <c r="AK8" s="2" t="s">
        <v>31</v>
      </c>
      <c r="AL8" s="2"/>
      <c r="AM8" s="2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14" t="s">
        <v>31</v>
      </c>
      <c r="BG8" s="14" t="s">
        <v>31</v>
      </c>
      <c r="BH8" s="14" t="s">
        <v>31</v>
      </c>
      <c r="BI8" s="14" t="s">
        <v>31</v>
      </c>
      <c r="BJ8" s="5"/>
      <c r="BK8" s="5"/>
      <c r="BL8" s="43" t="s">
        <v>31</v>
      </c>
      <c r="BM8" s="5"/>
      <c r="BN8" s="5"/>
      <c r="BO8" s="5"/>
      <c r="BP8" s="5"/>
      <c r="BQ8" s="5"/>
      <c r="BR8" s="14" t="s">
        <v>31</v>
      </c>
      <c r="BS8" s="14" t="s">
        <v>31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135">
        <f t="shared" si="0"/>
        <v>12</v>
      </c>
      <c r="CE8" s="28" t="s">
        <v>709</v>
      </c>
      <c r="CF8" s="28" t="s">
        <v>676</v>
      </c>
      <c r="CG8" s="20" t="s">
        <v>1039</v>
      </c>
      <c r="CH8" s="27" t="str">
        <f t="shared" si="3"/>
        <v>4</v>
      </c>
    </row>
    <row r="9" spans="1:111" ht="50.45" customHeight="1" x14ac:dyDescent="0.25">
      <c r="A9" s="63">
        <f t="shared" si="2"/>
        <v>6</v>
      </c>
      <c r="B9" s="299" t="s">
        <v>550</v>
      </c>
      <c r="C9" s="134" t="s">
        <v>551</v>
      </c>
      <c r="D9" s="134"/>
      <c r="E9" s="134"/>
      <c r="F9" s="134"/>
      <c r="G9" s="134" t="s">
        <v>226</v>
      </c>
      <c r="H9" s="134" t="s">
        <v>15</v>
      </c>
      <c r="I9" s="134">
        <v>1050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31</v>
      </c>
      <c r="AF9" s="2" t="s">
        <v>31</v>
      </c>
      <c r="AG9" s="2"/>
      <c r="AH9" s="2" t="s">
        <v>31</v>
      </c>
      <c r="AI9" s="2"/>
      <c r="AJ9" s="2"/>
      <c r="AK9" s="2" t="s">
        <v>31</v>
      </c>
      <c r="AL9" s="2"/>
      <c r="AM9" s="2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14" t="s">
        <v>31</v>
      </c>
      <c r="BA9" s="5"/>
      <c r="BB9" s="5"/>
      <c r="BC9" s="14" t="s">
        <v>31</v>
      </c>
      <c r="BD9" s="14" t="s">
        <v>31</v>
      </c>
      <c r="BE9" s="14" t="s">
        <v>670</v>
      </c>
      <c r="BF9" s="14" t="s">
        <v>31</v>
      </c>
      <c r="BG9" s="14" t="s">
        <v>31</v>
      </c>
      <c r="BH9" s="5"/>
      <c r="BI9" s="14" t="s">
        <v>31</v>
      </c>
      <c r="BJ9" s="14" t="s">
        <v>31</v>
      </c>
      <c r="BK9" s="14" t="s">
        <v>670</v>
      </c>
      <c r="BL9" s="14"/>
      <c r="BM9" s="14"/>
      <c r="BN9" s="14"/>
      <c r="BO9" s="14" t="s">
        <v>31</v>
      </c>
      <c r="BP9" s="14" t="s">
        <v>31</v>
      </c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35">
        <f t="shared" si="0"/>
        <v>15</v>
      </c>
      <c r="CE9" s="28" t="s">
        <v>768</v>
      </c>
      <c r="CF9" s="28" t="s">
        <v>729</v>
      </c>
      <c r="CG9" s="20" t="s">
        <v>1007</v>
      </c>
      <c r="CH9" s="27" t="str">
        <f t="shared" si="3"/>
        <v>4</v>
      </c>
      <c r="CI9" s="224" t="s">
        <v>960</v>
      </c>
    </row>
    <row r="10" spans="1:111" ht="50.45" customHeight="1" x14ac:dyDescent="0.25">
      <c r="A10" s="63">
        <f t="shared" si="2"/>
        <v>7</v>
      </c>
      <c r="B10" s="138" t="s">
        <v>262</v>
      </c>
      <c r="C10" s="134" t="s">
        <v>263</v>
      </c>
      <c r="D10" s="134" t="s">
        <v>264</v>
      </c>
      <c r="E10" s="134"/>
      <c r="F10" s="134" t="s">
        <v>265</v>
      </c>
      <c r="G10" s="134" t="s">
        <v>226</v>
      </c>
      <c r="H10" s="134" t="s">
        <v>15</v>
      </c>
      <c r="I10" s="134">
        <v>377</v>
      </c>
      <c r="J10" s="2"/>
      <c r="K10" s="2"/>
      <c r="L10" s="2"/>
      <c r="M10" s="2" t="s">
        <v>31</v>
      </c>
      <c r="N10" s="2"/>
      <c r="O10" s="2"/>
      <c r="P10" s="2"/>
      <c r="Q10" s="2"/>
      <c r="R10" s="2"/>
      <c r="S10" s="2"/>
      <c r="T10" s="2"/>
      <c r="U10" s="2"/>
      <c r="V10" s="2" t="s">
        <v>31</v>
      </c>
      <c r="W10" s="2"/>
      <c r="X10" s="2"/>
      <c r="Y10" s="2" t="s">
        <v>31</v>
      </c>
      <c r="Z10" s="2"/>
      <c r="AA10" s="2"/>
      <c r="AB10" s="2"/>
      <c r="AC10" s="2"/>
      <c r="AD10" s="2"/>
      <c r="AE10" s="2" t="s">
        <v>31</v>
      </c>
      <c r="AF10" s="2"/>
      <c r="AG10" s="2"/>
      <c r="AH10" s="2"/>
      <c r="AI10" s="2"/>
      <c r="AJ10" s="2"/>
      <c r="AK10" s="2" t="s">
        <v>31</v>
      </c>
      <c r="AL10" s="2"/>
      <c r="AM10" s="2"/>
      <c r="AN10" s="2" t="s">
        <v>31</v>
      </c>
      <c r="AO10" s="2"/>
      <c r="AP10" s="2"/>
      <c r="AQ10" s="2"/>
      <c r="AR10" s="16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 t="s">
        <v>31</v>
      </c>
      <c r="BS10" s="2"/>
      <c r="BT10" s="2"/>
      <c r="BU10" s="2"/>
      <c r="BV10" s="2"/>
      <c r="BW10" s="2"/>
      <c r="BX10" s="2" t="s">
        <v>31</v>
      </c>
      <c r="BY10" s="2"/>
      <c r="BZ10" s="2"/>
      <c r="CA10" s="2"/>
      <c r="CB10" s="2"/>
      <c r="CC10" s="2"/>
      <c r="CD10" s="135">
        <f t="shared" si="0"/>
        <v>8</v>
      </c>
      <c r="CE10" s="28" t="s">
        <v>820</v>
      </c>
      <c r="CF10" s="28" t="s">
        <v>779</v>
      </c>
      <c r="CG10" s="20" t="s">
        <v>1077</v>
      </c>
      <c r="CH10" s="27" t="str">
        <f t="shared" si="3"/>
        <v>4</v>
      </c>
    </row>
    <row r="11" spans="1:111" ht="50.45" customHeight="1" x14ac:dyDescent="0.25">
      <c r="A11" s="63">
        <f t="shared" si="2"/>
        <v>8</v>
      </c>
      <c r="B11" s="138" t="s">
        <v>731</v>
      </c>
      <c r="C11" s="134" t="s">
        <v>736</v>
      </c>
      <c r="D11" s="188"/>
      <c r="E11" s="134">
        <v>4000</v>
      </c>
      <c r="F11" s="134"/>
      <c r="G11" s="134" t="s">
        <v>226</v>
      </c>
      <c r="H11" s="134" t="s">
        <v>15</v>
      </c>
      <c r="I11" s="134">
        <v>4000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31</v>
      </c>
      <c r="AI11" s="2"/>
      <c r="AJ11" s="2"/>
      <c r="AK11" s="2" t="s">
        <v>31</v>
      </c>
      <c r="AL11" s="2"/>
      <c r="AM11" s="2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14" t="s">
        <v>31</v>
      </c>
      <c r="BJ11" s="5"/>
      <c r="BK11" s="5"/>
      <c r="BL11" s="5"/>
      <c r="BM11" s="5"/>
      <c r="BN11" s="5"/>
      <c r="BO11" s="14" t="s">
        <v>31</v>
      </c>
      <c r="BP11" s="5"/>
      <c r="BQ11" s="5"/>
      <c r="BR11" s="14" t="s">
        <v>31</v>
      </c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135">
        <f t="shared" si="0"/>
        <v>5</v>
      </c>
      <c r="CE11" s="28" t="s">
        <v>745</v>
      </c>
      <c r="CF11" s="28"/>
      <c r="CG11" s="20" t="s">
        <v>1017</v>
      </c>
      <c r="CH11" s="27" t="str">
        <f t="shared" si="3"/>
        <v>4</v>
      </c>
    </row>
    <row r="12" spans="1:111" ht="50.45" customHeight="1" x14ac:dyDescent="0.25">
      <c r="A12" s="63">
        <f t="shared" si="2"/>
        <v>9</v>
      </c>
      <c r="B12" s="299" t="s">
        <v>488</v>
      </c>
      <c r="C12" s="134" t="s">
        <v>489</v>
      </c>
      <c r="D12" s="134" t="s">
        <v>490</v>
      </c>
      <c r="E12" s="134" t="s">
        <v>491</v>
      </c>
      <c r="F12" s="134"/>
      <c r="G12" s="134" t="s">
        <v>226</v>
      </c>
      <c r="H12" s="134" t="s">
        <v>15</v>
      </c>
      <c r="I12" s="134">
        <v>850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31</v>
      </c>
      <c r="AC12" s="2"/>
      <c r="AD12" s="2"/>
      <c r="AE12" s="2" t="s">
        <v>31</v>
      </c>
      <c r="AF12" s="2" t="s">
        <v>31</v>
      </c>
      <c r="AG12" s="2"/>
      <c r="AH12" s="2"/>
      <c r="AI12" s="2"/>
      <c r="AJ12" s="2"/>
      <c r="AK12" s="2" t="s">
        <v>31</v>
      </c>
      <c r="AL12" s="2" t="s">
        <v>31</v>
      </c>
      <c r="AM12" s="2"/>
      <c r="AN12" s="5"/>
      <c r="AO12" s="5"/>
      <c r="AP12" s="5"/>
      <c r="AQ12" s="2" t="s">
        <v>31</v>
      </c>
      <c r="AR12" s="2" t="s">
        <v>31</v>
      </c>
      <c r="AS12" s="5"/>
      <c r="AT12" s="14" t="s">
        <v>31</v>
      </c>
      <c r="AU12" s="14" t="s">
        <v>31</v>
      </c>
      <c r="AV12" s="14" t="s">
        <v>31</v>
      </c>
      <c r="AW12" s="5"/>
      <c r="AX12" s="5"/>
      <c r="AY12" s="5"/>
      <c r="AZ12" s="14" t="s">
        <v>31</v>
      </c>
      <c r="BA12" s="5"/>
      <c r="BB12" s="5"/>
      <c r="BC12" s="2"/>
      <c r="BD12" s="5"/>
      <c r="BE12" s="5"/>
      <c r="BF12" s="14" t="s">
        <v>31</v>
      </c>
      <c r="BG12" s="14" t="s">
        <v>31</v>
      </c>
      <c r="BH12" s="14" t="s">
        <v>31</v>
      </c>
      <c r="BI12" s="5"/>
      <c r="BJ12" s="5"/>
      <c r="BK12" s="5"/>
      <c r="BL12" s="43" t="s">
        <v>31</v>
      </c>
      <c r="BM12" s="5"/>
      <c r="BN12" s="5"/>
      <c r="BO12" s="43" t="s">
        <v>31</v>
      </c>
      <c r="BP12" s="43" t="s">
        <v>31</v>
      </c>
      <c r="BQ12" s="43" t="s">
        <v>31</v>
      </c>
      <c r="BR12" s="14" t="s">
        <v>31</v>
      </c>
      <c r="BS12" s="5"/>
      <c r="BT12" s="5"/>
      <c r="BU12" s="14" t="s">
        <v>31</v>
      </c>
      <c r="BV12" s="5"/>
      <c r="BW12" s="5"/>
      <c r="BX12" s="5"/>
      <c r="BY12" s="5"/>
      <c r="BZ12" s="5"/>
      <c r="CA12" s="5"/>
      <c r="CB12" s="5"/>
      <c r="CC12" s="5"/>
      <c r="CD12" s="135">
        <f t="shared" si="0"/>
        <v>20</v>
      </c>
      <c r="CE12" s="28" t="s">
        <v>859</v>
      </c>
      <c r="CF12" s="28" t="s">
        <v>772</v>
      </c>
      <c r="CG12" s="20" t="s">
        <v>1054</v>
      </c>
      <c r="CH12" s="27" t="str">
        <f t="shared" si="3"/>
        <v>4</v>
      </c>
    </row>
    <row r="13" spans="1:111" ht="50.45" customHeight="1" x14ac:dyDescent="0.25">
      <c r="A13" s="63">
        <f t="shared" si="2"/>
        <v>10</v>
      </c>
      <c r="B13" s="299" t="s">
        <v>309</v>
      </c>
      <c r="C13" s="134" t="s">
        <v>310</v>
      </c>
      <c r="D13" s="134"/>
      <c r="E13" s="134"/>
      <c r="F13" s="134" t="s">
        <v>311</v>
      </c>
      <c r="G13" s="134" t="s">
        <v>226</v>
      </c>
      <c r="H13" s="134" t="s">
        <v>15</v>
      </c>
      <c r="I13" s="134">
        <v>887</v>
      </c>
      <c r="J13" s="2"/>
      <c r="K13" s="2"/>
      <c r="L13" s="2"/>
      <c r="M13" s="2" t="s">
        <v>31</v>
      </c>
      <c r="N13" s="2" t="s">
        <v>31</v>
      </c>
      <c r="O13" s="2"/>
      <c r="P13" s="2" t="s">
        <v>31</v>
      </c>
      <c r="Q13" s="2" t="s">
        <v>31</v>
      </c>
      <c r="R13" s="2"/>
      <c r="S13" s="2" t="s">
        <v>31</v>
      </c>
      <c r="T13" s="2" t="s">
        <v>31</v>
      </c>
      <c r="U13" s="2"/>
      <c r="V13" s="2" t="s">
        <v>31</v>
      </c>
      <c r="W13" s="2" t="s">
        <v>31</v>
      </c>
      <c r="X13" s="2"/>
      <c r="Y13" s="2" t="s">
        <v>31</v>
      </c>
      <c r="Z13" s="2" t="s">
        <v>31</v>
      </c>
      <c r="AA13" s="2"/>
      <c r="AB13" s="2" t="s">
        <v>31</v>
      </c>
      <c r="AC13" s="2"/>
      <c r="AD13" s="2"/>
      <c r="AE13" s="2" t="s">
        <v>31</v>
      </c>
      <c r="AF13" s="2" t="s">
        <v>31</v>
      </c>
      <c r="AG13" s="2"/>
      <c r="AH13" s="2" t="s">
        <v>31</v>
      </c>
      <c r="AI13" s="2" t="s">
        <v>31</v>
      </c>
      <c r="AJ13" s="2"/>
      <c r="AK13" s="2" t="s">
        <v>31</v>
      </c>
      <c r="AL13" s="2" t="s">
        <v>31</v>
      </c>
      <c r="AM13" s="2" t="s">
        <v>31</v>
      </c>
      <c r="AN13" s="5"/>
      <c r="AO13" s="5"/>
      <c r="AP13" s="5"/>
      <c r="AQ13" s="5"/>
      <c r="AR13" s="5"/>
      <c r="AS13" s="5"/>
      <c r="AT13" s="2"/>
      <c r="AU13" s="5"/>
      <c r="AV13" s="5"/>
      <c r="AW13" s="5"/>
      <c r="AX13" s="5"/>
      <c r="AY13" s="5"/>
      <c r="AZ13" s="2"/>
      <c r="BA13" s="5"/>
      <c r="BB13" s="5"/>
      <c r="BC13" s="2" t="s">
        <v>31</v>
      </c>
      <c r="BD13" s="2" t="s">
        <v>31</v>
      </c>
      <c r="BE13" s="5"/>
      <c r="BF13" s="14" t="s">
        <v>31</v>
      </c>
      <c r="BG13" s="14" t="s">
        <v>31</v>
      </c>
      <c r="BH13" s="5"/>
      <c r="BI13" s="14" t="s">
        <v>31</v>
      </c>
      <c r="BJ13" s="14" t="s">
        <v>31</v>
      </c>
      <c r="BK13" s="14" t="s">
        <v>670</v>
      </c>
      <c r="BL13" s="43" t="s">
        <v>31</v>
      </c>
      <c r="BM13" s="43" t="s">
        <v>31</v>
      </c>
      <c r="BN13" s="5"/>
      <c r="BO13" s="43" t="s">
        <v>31</v>
      </c>
      <c r="BP13" s="5"/>
      <c r="BQ13" s="5"/>
      <c r="BR13" s="14" t="s">
        <v>31</v>
      </c>
      <c r="BS13" s="5"/>
      <c r="BT13" s="5"/>
      <c r="BU13" s="14" t="s">
        <v>31</v>
      </c>
      <c r="BV13" s="5"/>
      <c r="BW13" s="5"/>
      <c r="BX13" s="2" t="s">
        <v>31</v>
      </c>
      <c r="BY13" s="5"/>
      <c r="BZ13" s="5"/>
      <c r="CA13" s="5"/>
      <c r="CB13" s="5"/>
      <c r="CC13" s="5"/>
      <c r="CD13" s="135">
        <f t="shared" si="0"/>
        <v>31</v>
      </c>
      <c r="CE13" s="28" t="s">
        <v>776</v>
      </c>
      <c r="CF13" s="28" t="s">
        <v>737</v>
      </c>
      <c r="CG13" s="20" t="s">
        <v>1085</v>
      </c>
      <c r="CH13" s="27" t="str">
        <f t="shared" si="3"/>
        <v>4</v>
      </c>
    </row>
    <row r="14" spans="1:111" ht="50.45" customHeight="1" x14ac:dyDescent="0.25">
      <c r="A14" s="63">
        <f t="shared" si="2"/>
        <v>11</v>
      </c>
      <c r="B14" s="138" t="s">
        <v>357</v>
      </c>
      <c r="C14" s="134" t="s">
        <v>358</v>
      </c>
      <c r="D14" s="134"/>
      <c r="E14" s="134" t="s">
        <v>359</v>
      </c>
      <c r="F14" s="134"/>
      <c r="G14" s="134" t="s">
        <v>226</v>
      </c>
      <c r="H14" s="134" t="s">
        <v>15</v>
      </c>
      <c r="I14" s="134">
        <v>150</v>
      </c>
      <c r="J14" s="2"/>
      <c r="K14" s="2"/>
      <c r="L14" s="2"/>
      <c r="M14" s="2"/>
      <c r="N14" s="2"/>
      <c r="O14" s="2"/>
      <c r="P14" s="2" t="s">
        <v>31</v>
      </c>
      <c r="Q14" s="2"/>
      <c r="R14" s="2"/>
      <c r="S14" s="2" t="s">
        <v>31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31</v>
      </c>
      <c r="AI14" s="2"/>
      <c r="AJ14" s="2"/>
      <c r="AK14" s="2" t="s">
        <v>31</v>
      </c>
      <c r="AL14" s="2"/>
      <c r="AM14" s="2"/>
      <c r="AN14" s="14" t="s">
        <v>31</v>
      </c>
      <c r="AO14" s="5"/>
      <c r="AP14" s="5"/>
      <c r="AQ14" s="2" t="s">
        <v>31</v>
      </c>
      <c r="AR14" s="2" t="s">
        <v>31</v>
      </c>
      <c r="AS14" s="5"/>
      <c r="AT14" s="5"/>
      <c r="AU14" s="5"/>
      <c r="AV14" s="5"/>
      <c r="AW14" s="14" t="s">
        <v>31</v>
      </c>
      <c r="AX14" s="5"/>
      <c r="AY14" s="5"/>
      <c r="AZ14" s="14" t="s">
        <v>31</v>
      </c>
      <c r="BA14" s="14" t="s">
        <v>31</v>
      </c>
      <c r="BB14" s="5"/>
      <c r="BC14" s="2" t="s">
        <v>31</v>
      </c>
      <c r="BD14" s="2" t="s">
        <v>31</v>
      </c>
      <c r="BE14" s="5"/>
      <c r="BF14" s="14" t="s">
        <v>31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14" t="s">
        <v>31</v>
      </c>
      <c r="BS14" s="14"/>
      <c r="BT14" s="5"/>
      <c r="BV14" s="5"/>
      <c r="BW14" s="5"/>
      <c r="BX14" s="5"/>
      <c r="BY14" s="5"/>
      <c r="BZ14" s="5"/>
      <c r="CA14" s="5"/>
      <c r="CB14" s="5"/>
      <c r="CC14" s="5"/>
      <c r="CD14" s="135">
        <f t="shared" si="0"/>
        <v>14</v>
      </c>
      <c r="CE14" s="28" t="s">
        <v>860</v>
      </c>
      <c r="CF14" s="28"/>
      <c r="CG14" s="20" t="s">
        <v>1018</v>
      </c>
      <c r="CH14" s="27" t="str">
        <f t="shared" si="3"/>
        <v>4</v>
      </c>
    </row>
    <row r="15" spans="1:111" ht="50.45" customHeight="1" x14ac:dyDescent="0.25">
      <c r="A15" s="63">
        <f t="shared" si="2"/>
        <v>12</v>
      </c>
      <c r="B15" s="138" t="s">
        <v>302</v>
      </c>
      <c r="C15" s="134" t="s">
        <v>303</v>
      </c>
      <c r="D15" s="134"/>
      <c r="E15" s="134"/>
      <c r="F15" s="134" t="s">
        <v>304</v>
      </c>
      <c r="G15" s="134" t="s">
        <v>226</v>
      </c>
      <c r="H15" s="134" t="s">
        <v>15</v>
      </c>
      <c r="I15" s="134">
        <v>1000</v>
      </c>
      <c r="J15" s="2"/>
      <c r="K15" s="2"/>
      <c r="L15" s="2"/>
      <c r="M15" s="2" t="s">
        <v>31</v>
      </c>
      <c r="N15" s="2" t="s">
        <v>31</v>
      </c>
      <c r="O15" s="2"/>
      <c r="P15" s="2" t="s">
        <v>31</v>
      </c>
      <c r="Q15" s="2" t="s">
        <v>31</v>
      </c>
      <c r="R15" s="2"/>
      <c r="S15" s="2" t="s">
        <v>31</v>
      </c>
      <c r="T15" s="2" t="s">
        <v>31</v>
      </c>
      <c r="U15" s="2"/>
      <c r="V15" s="2" t="s">
        <v>31</v>
      </c>
      <c r="W15" s="2"/>
      <c r="X15" s="2"/>
      <c r="Y15" s="2" t="s">
        <v>31</v>
      </c>
      <c r="Z15" s="2"/>
      <c r="AA15" s="2"/>
      <c r="AB15" s="2" t="s">
        <v>31</v>
      </c>
      <c r="AC15" s="2" t="s">
        <v>31</v>
      </c>
      <c r="AD15" s="2"/>
      <c r="AE15" s="2" t="s">
        <v>31</v>
      </c>
      <c r="AF15" s="2"/>
      <c r="AG15" s="2"/>
      <c r="AH15" s="2"/>
      <c r="AI15" s="2"/>
      <c r="AJ15" s="2"/>
      <c r="AK15" s="2"/>
      <c r="AL15" s="2"/>
      <c r="AM15" s="2"/>
      <c r="AN15" s="5"/>
      <c r="AO15" s="5"/>
      <c r="AP15" s="5"/>
      <c r="AQ15" s="5"/>
      <c r="AR15" s="5"/>
      <c r="AS15" s="5"/>
      <c r="AT15" s="2"/>
      <c r="AU15" s="5"/>
      <c r="AV15" s="5"/>
      <c r="AW15" s="5"/>
      <c r="AX15" s="5"/>
      <c r="AY15" s="5"/>
      <c r="AZ15" s="2"/>
      <c r="BA15" s="5"/>
      <c r="BB15" s="5"/>
      <c r="BC15" s="2"/>
      <c r="BD15" s="5"/>
      <c r="BE15" s="5"/>
      <c r="BF15" s="14" t="s">
        <v>31</v>
      </c>
      <c r="BG15" s="5"/>
      <c r="BH15" s="5"/>
      <c r="BI15" s="14" t="s">
        <v>31</v>
      </c>
      <c r="BJ15" s="14" t="s">
        <v>31</v>
      </c>
      <c r="BK15" s="14" t="s">
        <v>31</v>
      </c>
      <c r="BL15" s="43" t="s">
        <v>31</v>
      </c>
      <c r="BM15" s="5"/>
      <c r="BN15" s="5"/>
      <c r="BO15" s="43" t="s">
        <v>31</v>
      </c>
      <c r="BP15" s="43" t="s">
        <v>31</v>
      </c>
      <c r="BQ15" s="5"/>
      <c r="BR15" s="14" t="s">
        <v>31</v>
      </c>
      <c r="BS15" s="14" t="s">
        <v>31</v>
      </c>
      <c r="BT15" s="5"/>
      <c r="BU15" s="14" t="s">
        <v>31</v>
      </c>
      <c r="BV15" s="5"/>
      <c r="BW15" s="5"/>
      <c r="BX15" s="5"/>
      <c r="BY15" s="5"/>
      <c r="BZ15" s="5"/>
      <c r="CA15" s="5"/>
      <c r="CB15" s="5"/>
      <c r="CC15" s="5"/>
      <c r="CD15" s="135">
        <f t="shared" si="0"/>
        <v>21</v>
      </c>
      <c r="CE15" s="28" t="s">
        <v>704</v>
      </c>
      <c r="CF15" s="28" t="s">
        <v>619</v>
      </c>
      <c r="CG15" s="20" t="s">
        <v>1059</v>
      </c>
      <c r="CH15" s="27" t="str">
        <f t="shared" si="3"/>
        <v>4</v>
      </c>
    </row>
    <row r="16" spans="1:111" ht="50.45" customHeight="1" x14ac:dyDescent="0.25">
      <c r="A16" s="63">
        <f t="shared" si="2"/>
        <v>13</v>
      </c>
      <c r="B16" s="138" t="s">
        <v>351</v>
      </c>
      <c r="C16" s="134" t="s">
        <v>691</v>
      </c>
      <c r="D16" s="134">
        <v>9942810251</v>
      </c>
      <c r="E16" s="134" t="s">
        <v>352</v>
      </c>
      <c r="F16" s="134" t="s">
        <v>353</v>
      </c>
      <c r="G16" s="134" t="s">
        <v>226</v>
      </c>
      <c r="H16" s="134" t="s">
        <v>15</v>
      </c>
      <c r="I16" s="134">
        <v>1200</v>
      </c>
      <c r="J16" s="2"/>
      <c r="K16" s="2"/>
      <c r="L16" s="2"/>
      <c r="M16" s="2" t="s">
        <v>31</v>
      </c>
      <c r="N16" s="2"/>
      <c r="O16" s="2"/>
      <c r="P16" s="2"/>
      <c r="Q16" s="2"/>
      <c r="R16" s="2"/>
      <c r="S16" s="2" t="s">
        <v>31</v>
      </c>
      <c r="T16" s="2"/>
      <c r="U16" s="2"/>
      <c r="V16" s="2" t="s">
        <v>31</v>
      </c>
      <c r="W16" s="2"/>
      <c r="X16" s="2"/>
      <c r="Y16" s="2" t="s">
        <v>31</v>
      </c>
      <c r="Z16" s="2"/>
      <c r="AA16" s="2"/>
      <c r="AB16" s="2" t="s">
        <v>31</v>
      </c>
      <c r="AC16" s="2"/>
      <c r="AD16" s="2"/>
      <c r="AE16" s="2" t="s">
        <v>31</v>
      </c>
      <c r="AF16" s="2" t="s">
        <v>31</v>
      </c>
      <c r="AG16" s="2"/>
      <c r="AH16" s="2"/>
      <c r="AI16" s="2"/>
      <c r="AJ16" s="2"/>
      <c r="AK16" s="2"/>
      <c r="AL16" s="2"/>
      <c r="AM16" s="2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14" t="s">
        <v>31</v>
      </c>
      <c r="BJ16" s="5"/>
      <c r="BK16" s="5"/>
      <c r="BL16" s="5"/>
      <c r="BM16" s="5"/>
      <c r="BN16" s="5"/>
      <c r="BO16" s="43" t="s">
        <v>31</v>
      </c>
      <c r="BP16" s="5"/>
      <c r="BQ16" s="5"/>
      <c r="BR16" s="5"/>
      <c r="BS16" s="5"/>
      <c r="BT16" s="5"/>
      <c r="BU16" s="14" t="s">
        <v>31</v>
      </c>
      <c r="BV16" s="5"/>
      <c r="BW16" s="5"/>
      <c r="BX16" s="14" t="s">
        <v>31</v>
      </c>
      <c r="BY16" s="5"/>
      <c r="BZ16" s="5"/>
      <c r="CA16" s="5"/>
      <c r="CB16" s="5"/>
      <c r="CC16" s="5"/>
      <c r="CD16" s="135">
        <f t="shared" si="0"/>
        <v>11</v>
      </c>
      <c r="CE16" s="28" t="s">
        <v>710</v>
      </c>
      <c r="CF16" s="28" t="s">
        <v>669</v>
      </c>
      <c r="CG16" s="20" t="s">
        <v>1075</v>
      </c>
      <c r="CH16" s="27" t="str">
        <f t="shared" si="3"/>
        <v>4</v>
      </c>
    </row>
    <row r="17" spans="1:86" ht="50.45" customHeight="1" x14ac:dyDescent="0.25">
      <c r="A17" s="63">
        <f t="shared" si="2"/>
        <v>14</v>
      </c>
      <c r="B17" s="138" t="s">
        <v>376</v>
      </c>
      <c r="C17" s="134" t="s">
        <v>377</v>
      </c>
      <c r="D17" s="134">
        <v>9443302526</v>
      </c>
      <c r="E17" s="134" t="s">
        <v>378</v>
      </c>
      <c r="F17" s="134" t="s">
        <v>379</v>
      </c>
      <c r="G17" s="134" t="s">
        <v>226</v>
      </c>
      <c r="H17" s="134" t="s">
        <v>15</v>
      </c>
      <c r="I17" s="134">
        <v>530</v>
      </c>
      <c r="J17" s="2"/>
      <c r="K17" s="2"/>
      <c r="L17" s="2"/>
      <c r="M17" s="2" t="s">
        <v>31</v>
      </c>
      <c r="N17" s="2"/>
      <c r="O17" s="2"/>
      <c r="P17" s="2" t="s">
        <v>31</v>
      </c>
      <c r="Q17" s="2"/>
      <c r="R17" s="2"/>
      <c r="S17" s="2" t="s">
        <v>31</v>
      </c>
      <c r="T17" s="2"/>
      <c r="U17" s="2"/>
      <c r="V17" s="2" t="s">
        <v>31</v>
      </c>
      <c r="W17" s="2" t="s">
        <v>31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14" t="s">
        <v>31</v>
      </c>
      <c r="BJ17" s="14" t="s">
        <v>31</v>
      </c>
      <c r="BK17" s="5"/>
      <c r="BL17" s="43" t="s">
        <v>31</v>
      </c>
      <c r="BM17" s="43" t="s">
        <v>31</v>
      </c>
      <c r="BN17" s="5"/>
      <c r="BO17" s="43" t="s">
        <v>31</v>
      </c>
      <c r="BP17" s="5"/>
      <c r="BQ17" s="5"/>
      <c r="BR17" s="5"/>
      <c r="BS17" s="5"/>
      <c r="BT17" s="5"/>
      <c r="BU17" s="14" t="s">
        <v>31</v>
      </c>
      <c r="BV17" s="5"/>
      <c r="BW17" s="5"/>
      <c r="BX17" s="5"/>
      <c r="BY17" s="5"/>
      <c r="BZ17" s="5"/>
      <c r="CA17" s="5"/>
      <c r="CB17" s="5"/>
      <c r="CC17" s="5"/>
      <c r="CD17" s="135">
        <f t="shared" si="0"/>
        <v>11</v>
      </c>
      <c r="CE17" s="28" t="s">
        <v>962</v>
      </c>
      <c r="CF17" s="28" t="s">
        <v>666</v>
      </c>
      <c r="CG17" s="20" t="s">
        <v>1043</v>
      </c>
      <c r="CH17" s="27" t="str">
        <f t="shared" si="3"/>
        <v>4</v>
      </c>
    </row>
    <row r="18" spans="1:86" ht="50.45" customHeight="1" x14ac:dyDescent="0.25">
      <c r="A18" s="63">
        <f t="shared" si="2"/>
        <v>15</v>
      </c>
      <c r="B18" s="138" t="s">
        <v>380</v>
      </c>
      <c r="C18" s="134" t="s">
        <v>381</v>
      </c>
      <c r="D18" s="134">
        <v>9443735437</v>
      </c>
      <c r="E18" s="134" t="s">
        <v>382</v>
      </c>
      <c r="F18" s="134"/>
      <c r="G18" s="134" t="s">
        <v>226</v>
      </c>
      <c r="H18" s="134" t="s">
        <v>15</v>
      </c>
      <c r="I18" s="134">
        <v>800</v>
      </c>
      <c r="J18" s="2"/>
      <c r="K18" s="2"/>
      <c r="L18" s="2"/>
      <c r="M18" s="2" t="s">
        <v>31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31</v>
      </c>
      <c r="AC18" s="2"/>
      <c r="AD18" s="2"/>
      <c r="AE18" s="2" t="s">
        <v>31</v>
      </c>
      <c r="AF18" s="2" t="s">
        <v>31</v>
      </c>
      <c r="AG18" s="2" t="s">
        <v>31</v>
      </c>
      <c r="AH18" s="2" t="s">
        <v>31</v>
      </c>
      <c r="AI18" s="2"/>
      <c r="AJ18" s="2"/>
      <c r="AK18" s="2" t="s">
        <v>31</v>
      </c>
      <c r="AL18" s="2"/>
      <c r="AM18" s="2"/>
      <c r="AN18" s="2"/>
      <c r="AO18" s="2"/>
      <c r="AP18" s="2"/>
      <c r="AQ18" s="2"/>
      <c r="AR18" s="2"/>
      <c r="AS18" s="2"/>
      <c r="AT18" s="2" t="s">
        <v>31</v>
      </c>
      <c r="AU18" s="2"/>
      <c r="AV18" s="2"/>
      <c r="AW18" s="2" t="s">
        <v>31</v>
      </c>
      <c r="AX18" s="2"/>
      <c r="AY18" s="2"/>
      <c r="AZ18" s="2" t="s">
        <v>31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 t="s">
        <v>31</v>
      </c>
      <c r="BM18" s="2" t="s">
        <v>31</v>
      </c>
      <c r="BN18" s="2"/>
      <c r="BO18" s="2"/>
      <c r="BP18" s="2"/>
      <c r="BQ18" s="2"/>
      <c r="BR18" s="2" t="s">
        <v>31</v>
      </c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135">
        <f t="shared" si="0"/>
        <v>14</v>
      </c>
      <c r="CE18" s="28" t="s">
        <v>966</v>
      </c>
      <c r="CF18" s="28" t="s">
        <v>721</v>
      </c>
      <c r="CG18" s="20" t="s">
        <v>1035</v>
      </c>
      <c r="CH18" s="27" t="str">
        <f t="shared" ref="CH18:CH23" si="4">IF(CD18&lt;=0,"0",IF(CD18=1,"1",IF(CD18=2,"2",IF(CD18=3,"3",IF(CD18&gt;=4,"4")))))</f>
        <v>4</v>
      </c>
    </row>
    <row r="19" spans="1:86" ht="50.45" customHeight="1" x14ac:dyDescent="0.25">
      <c r="A19" s="63">
        <f t="shared" si="2"/>
        <v>16</v>
      </c>
      <c r="B19" s="138" t="s">
        <v>434</v>
      </c>
      <c r="C19" s="134" t="s">
        <v>435</v>
      </c>
      <c r="D19" s="134">
        <v>848937685</v>
      </c>
      <c r="E19" s="134" t="s">
        <v>436</v>
      </c>
      <c r="F19" s="134" t="s">
        <v>437</v>
      </c>
      <c r="G19" s="134" t="s">
        <v>226</v>
      </c>
      <c r="H19" s="134" t="s">
        <v>15</v>
      </c>
      <c r="I19" s="134">
        <v>625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">
        <v>31</v>
      </c>
      <c r="W19" s="2"/>
      <c r="X19" s="2"/>
      <c r="Y19" s="2" t="s">
        <v>31</v>
      </c>
      <c r="Z19" s="2"/>
      <c r="AA19" s="2"/>
      <c r="AB19" s="2"/>
      <c r="AC19" s="2"/>
      <c r="AD19" s="2"/>
      <c r="AE19" s="2" t="s">
        <v>31</v>
      </c>
      <c r="AF19" s="2"/>
      <c r="AG19" s="2"/>
      <c r="AH19" s="2"/>
      <c r="AI19" s="2"/>
      <c r="AJ19" s="2"/>
      <c r="AK19" s="2" t="s">
        <v>31</v>
      </c>
      <c r="AL19" s="2"/>
      <c r="AM19" s="2"/>
      <c r="AN19" s="14" t="s">
        <v>31</v>
      </c>
      <c r="AO19" s="5"/>
      <c r="AP19" s="5"/>
      <c r="AQ19" s="5"/>
      <c r="AR19" s="5"/>
      <c r="AS19" s="5"/>
      <c r="AT19" s="2" t="s">
        <v>31</v>
      </c>
      <c r="AU19" s="5"/>
      <c r="AV19" s="5"/>
      <c r="AW19" s="2" t="s">
        <v>31</v>
      </c>
      <c r="AX19" s="5"/>
      <c r="AY19" s="5"/>
      <c r="AZ19" s="2" t="s">
        <v>31</v>
      </c>
      <c r="BA19" s="5"/>
      <c r="BB19" s="5"/>
      <c r="BC19" s="5"/>
      <c r="BD19" s="5"/>
      <c r="BE19" s="5"/>
      <c r="BF19" s="2" t="s">
        <v>31</v>
      </c>
      <c r="BG19" s="5"/>
      <c r="BH19" s="5"/>
      <c r="BI19" s="5"/>
      <c r="BJ19" s="5"/>
      <c r="BK19" s="5"/>
      <c r="BL19" s="2" t="s">
        <v>31</v>
      </c>
      <c r="BM19" s="5"/>
      <c r="BN19" s="5"/>
      <c r="BO19" s="5"/>
      <c r="BP19" s="5"/>
      <c r="BQ19" s="5"/>
      <c r="BR19" s="14" t="s">
        <v>31</v>
      </c>
      <c r="BS19" s="14" t="s">
        <v>31</v>
      </c>
      <c r="BT19" s="14" t="s">
        <v>31</v>
      </c>
      <c r="BU19" s="5"/>
      <c r="BV19" s="5"/>
      <c r="BW19" s="5"/>
      <c r="BX19" s="14" t="s">
        <v>31</v>
      </c>
      <c r="BY19" s="5"/>
      <c r="BZ19" s="5"/>
      <c r="CA19" s="5"/>
      <c r="CB19" s="5"/>
      <c r="CC19" s="5"/>
      <c r="CD19" s="135">
        <f t="shared" si="0"/>
        <v>14</v>
      </c>
      <c r="CE19" s="28" t="s">
        <v>778</v>
      </c>
      <c r="CF19" s="28" t="s">
        <v>723</v>
      </c>
      <c r="CG19" s="20" t="s">
        <v>1084</v>
      </c>
      <c r="CH19" s="27" t="str">
        <f t="shared" si="4"/>
        <v>4</v>
      </c>
    </row>
    <row r="20" spans="1:86" ht="50.45" customHeight="1" x14ac:dyDescent="0.25">
      <c r="A20" s="63">
        <f t="shared" si="2"/>
        <v>17</v>
      </c>
      <c r="B20" s="138" t="s">
        <v>231</v>
      </c>
      <c r="C20" s="134" t="s">
        <v>232</v>
      </c>
      <c r="D20" s="134"/>
      <c r="E20" s="134"/>
      <c r="F20" s="134" t="s">
        <v>233</v>
      </c>
      <c r="G20" s="134" t="s">
        <v>226</v>
      </c>
      <c r="H20" s="134" t="s">
        <v>15</v>
      </c>
      <c r="I20" s="134">
        <v>1500</v>
      </c>
      <c r="J20" s="2"/>
      <c r="K20" s="2"/>
      <c r="L20" s="2"/>
      <c r="M20" s="2"/>
      <c r="N20" s="2"/>
      <c r="O20" s="2"/>
      <c r="P20" s="2" t="s">
        <v>31</v>
      </c>
      <c r="Q20" s="2" t="s">
        <v>31</v>
      </c>
      <c r="R20" s="2"/>
      <c r="S20" s="2"/>
      <c r="T20" s="2" t="s">
        <v>31</v>
      </c>
      <c r="U20" s="2"/>
      <c r="V20" s="2" t="s">
        <v>31</v>
      </c>
      <c r="W20" s="2" t="s">
        <v>31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6"/>
      <c r="AS20" s="2"/>
      <c r="AT20" s="2"/>
      <c r="AU20" s="2"/>
      <c r="AV20" s="2"/>
      <c r="AW20" s="2"/>
      <c r="AX20" s="2"/>
      <c r="AY20" s="2"/>
      <c r="AZ20" s="2"/>
      <c r="BA20" s="2"/>
      <c r="BB20" s="5"/>
      <c r="BC20" s="2"/>
      <c r="BD20" s="2"/>
      <c r="BE20" s="2"/>
      <c r="BF20" s="2" t="s">
        <v>31</v>
      </c>
      <c r="BG20" s="2"/>
      <c r="BH20" s="2"/>
      <c r="BI20" s="16" t="s">
        <v>31</v>
      </c>
      <c r="BJ20" s="2"/>
      <c r="BK20" s="2"/>
      <c r="BL20" s="2" t="s">
        <v>31</v>
      </c>
      <c r="BM20" s="2"/>
      <c r="BN20" s="2"/>
      <c r="BO20" s="2" t="s">
        <v>31</v>
      </c>
      <c r="BP20" s="2"/>
      <c r="BQ20" s="2"/>
      <c r="BR20" s="2"/>
      <c r="BS20" s="2"/>
      <c r="BT20" s="2"/>
      <c r="BU20" s="2" t="s">
        <v>31</v>
      </c>
      <c r="BV20" s="2"/>
      <c r="BW20" s="2"/>
      <c r="BX20" s="2"/>
      <c r="BY20" s="2"/>
      <c r="BZ20" s="2"/>
      <c r="CA20" s="2"/>
      <c r="CB20" s="2"/>
      <c r="CC20" s="2"/>
      <c r="CD20" s="135">
        <f t="shared" si="0"/>
        <v>10</v>
      </c>
      <c r="CE20" s="28" t="s">
        <v>607</v>
      </c>
      <c r="CF20" s="28" t="s">
        <v>581</v>
      </c>
      <c r="CG20" s="20" t="s">
        <v>1061</v>
      </c>
      <c r="CH20" s="27" t="str">
        <f t="shared" si="4"/>
        <v>4</v>
      </c>
    </row>
    <row r="21" spans="1:86" ht="50.45" customHeight="1" x14ac:dyDescent="0.25">
      <c r="A21" s="63">
        <f t="shared" si="2"/>
        <v>18</v>
      </c>
      <c r="B21" s="138" t="s">
        <v>484</v>
      </c>
      <c r="C21" s="134" t="s">
        <v>485</v>
      </c>
      <c r="D21" s="134">
        <v>8056898155</v>
      </c>
      <c r="E21" s="134" t="s">
        <v>486</v>
      </c>
      <c r="F21" s="134"/>
      <c r="G21" s="134" t="s">
        <v>226</v>
      </c>
      <c r="H21" s="134" t="s">
        <v>15</v>
      </c>
      <c r="I21" s="134">
        <v>280</v>
      </c>
      <c r="J21" s="2"/>
      <c r="K21" s="2"/>
      <c r="L21" s="2"/>
      <c r="M21" s="2" t="s">
        <v>31</v>
      </c>
      <c r="N21" s="2"/>
      <c r="O21" s="2"/>
      <c r="P21" s="2"/>
      <c r="Q21" s="2"/>
      <c r="R21" s="2"/>
      <c r="S21" s="2" t="s">
        <v>31</v>
      </c>
      <c r="T21" s="2"/>
      <c r="U21" s="2"/>
      <c r="V21" s="2"/>
      <c r="W21" s="2"/>
      <c r="X21" s="2"/>
      <c r="Y21" s="2"/>
      <c r="Z21" s="2"/>
      <c r="AA21" s="2"/>
      <c r="AB21" s="2" t="s">
        <v>31</v>
      </c>
      <c r="AC21" s="2" t="s">
        <v>31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14" t="s">
        <v>31</v>
      </c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135">
        <f t="shared" si="0"/>
        <v>5</v>
      </c>
      <c r="CE21" s="28" t="s">
        <v>701</v>
      </c>
      <c r="CF21" s="28" t="s">
        <v>561</v>
      </c>
      <c r="CG21" s="20" t="s">
        <v>1016</v>
      </c>
      <c r="CH21" s="27" t="str">
        <f t="shared" si="4"/>
        <v>4</v>
      </c>
    </row>
    <row r="22" spans="1:86" ht="50.45" customHeight="1" x14ac:dyDescent="0.25">
      <c r="A22" s="63">
        <f t="shared" si="2"/>
        <v>19</v>
      </c>
      <c r="B22" s="138" t="s">
        <v>441</v>
      </c>
      <c r="C22" s="134" t="s">
        <v>546</v>
      </c>
      <c r="D22" s="134"/>
      <c r="E22" s="134"/>
      <c r="F22" s="134"/>
      <c r="G22" s="134" t="s">
        <v>226</v>
      </c>
      <c r="H22" s="134" t="s">
        <v>15</v>
      </c>
      <c r="I22" s="134">
        <v>517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31</v>
      </c>
      <c r="AC22" s="2"/>
      <c r="AD22" s="2"/>
      <c r="AE22" s="2" t="s">
        <v>31</v>
      </c>
      <c r="AF22" s="2" t="s">
        <v>31</v>
      </c>
      <c r="AG22" s="2" t="s">
        <v>31</v>
      </c>
      <c r="AH22" s="2"/>
      <c r="AI22" s="2"/>
      <c r="AJ22" s="2"/>
      <c r="AK22" s="2"/>
      <c r="AL22" s="2"/>
      <c r="AM22" s="2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43" t="s">
        <v>31</v>
      </c>
      <c r="BM22" s="5"/>
      <c r="BN22" s="5"/>
      <c r="BO22" s="2" t="s">
        <v>31</v>
      </c>
      <c r="BP22" s="5"/>
      <c r="BQ22" s="5"/>
      <c r="BR22" s="5"/>
      <c r="BS22" s="5"/>
      <c r="BT22" s="5"/>
      <c r="BU22" s="5"/>
      <c r="BV22" s="5"/>
      <c r="BW22" s="5"/>
      <c r="BX22" s="14" t="s">
        <v>31</v>
      </c>
      <c r="BY22" s="5"/>
      <c r="BZ22" s="5"/>
      <c r="CA22" s="5"/>
      <c r="CB22" s="5"/>
      <c r="CC22" s="5"/>
      <c r="CD22" s="135">
        <f t="shared" si="0"/>
        <v>7</v>
      </c>
      <c r="CE22" s="28" t="s">
        <v>711</v>
      </c>
      <c r="CF22" s="28"/>
      <c r="CG22" s="20" t="s">
        <v>1070</v>
      </c>
      <c r="CH22" s="27" t="str">
        <f t="shared" si="4"/>
        <v>4</v>
      </c>
    </row>
    <row r="23" spans="1:86" ht="50.45" customHeight="1" x14ac:dyDescent="0.25">
      <c r="A23" s="63">
        <f t="shared" si="2"/>
        <v>20</v>
      </c>
      <c r="B23" s="138" t="s">
        <v>273</v>
      </c>
      <c r="C23" s="134" t="s">
        <v>274</v>
      </c>
      <c r="D23" s="134">
        <v>948808469</v>
      </c>
      <c r="E23" s="134"/>
      <c r="F23" s="134"/>
      <c r="G23" s="134" t="s">
        <v>226</v>
      </c>
      <c r="H23" s="134" t="s">
        <v>15</v>
      </c>
      <c r="I23" s="134">
        <v>349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31</v>
      </c>
      <c r="AC23" s="2" t="s">
        <v>31</v>
      </c>
      <c r="AD23" s="2"/>
      <c r="AE23" s="2" t="s">
        <v>31</v>
      </c>
      <c r="AF23" s="2" t="s">
        <v>31</v>
      </c>
      <c r="AG23" s="2"/>
      <c r="AH23" s="2"/>
      <c r="AI23" s="2"/>
      <c r="AJ23" s="2"/>
      <c r="AK23" s="2" t="s">
        <v>31</v>
      </c>
      <c r="AL23" s="2"/>
      <c r="AM23" s="2"/>
      <c r="AN23" s="5"/>
      <c r="AO23" s="5"/>
      <c r="AP23" s="5"/>
      <c r="AQ23" s="5" t="s">
        <v>31</v>
      </c>
      <c r="AR23" s="5" t="s">
        <v>31</v>
      </c>
      <c r="AS23" s="5"/>
      <c r="AT23" s="2"/>
      <c r="AU23" s="5"/>
      <c r="AV23" s="5"/>
      <c r="AW23" s="5"/>
      <c r="AX23" s="5"/>
      <c r="AY23" s="5"/>
      <c r="AZ23" s="2" t="s">
        <v>31</v>
      </c>
      <c r="BA23" s="5"/>
      <c r="BB23" s="5"/>
      <c r="BC23" s="2"/>
      <c r="BD23" s="5"/>
      <c r="BE23" s="5"/>
      <c r="BF23" s="14"/>
      <c r="BG23" s="5"/>
      <c r="BH23" s="5"/>
      <c r="BI23" s="5"/>
      <c r="BJ23" s="5"/>
      <c r="BK23" s="5"/>
      <c r="BL23" s="43" t="s">
        <v>31</v>
      </c>
      <c r="BM23" s="5"/>
      <c r="BN23" s="5"/>
      <c r="BO23" s="5"/>
      <c r="BP23" s="5"/>
      <c r="BQ23" s="5"/>
      <c r="BR23" s="14" t="s">
        <v>31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135">
        <f t="shared" si="0"/>
        <v>10</v>
      </c>
      <c r="CE23" s="28" t="s">
        <v>782</v>
      </c>
      <c r="CF23" s="28" t="s">
        <v>702</v>
      </c>
      <c r="CG23" s="20" t="s">
        <v>1038</v>
      </c>
      <c r="CH23" s="27" t="str">
        <f t="shared" si="4"/>
        <v>4</v>
      </c>
    </row>
    <row r="24" spans="1:86" ht="50.45" customHeight="1" x14ac:dyDescent="0.25">
      <c r="A24" s="63">
        <f t="shared" si="2"/>
        <v>21</v>
      </c>
      <c r="B24" s="138" t="s">
        <v>354</v>
      </c>
      <c r="C24" s="134" t="s">
        <v>355</v>
      </c>
      <c r="D24" s="134">
        <v>8973055577</v>
      </c>
      <c r="E24" s="134" t="s">
        <v>356</v>
      </c>
      <c r="F24" s="134"/>
      <c r="G24" s="134" t="s">
        <v>226</v>
      </c>
      <c r="H24" s="134" t="s">
        <v>15</v>
      </c>
      <c r="I24" s="134">
        <v>900</v>
      </c>
      <c r="J24" s="2"/>
      <c r="K24" s="2"/>
      <c r="L24" s="2"/>
      <c r="M24" s="2" t="s">
        <v>31</v>
      </c>
      <c r="N24" s="2" t="s">
        <v>31</v>
      </c>
      <c r="O24" s="2"/>
      <c r="P24" s="2" t="s">
        <v>31</v>
      </c>
      <c r="Q24" s="2"/>
      <c r="R24" s="2"/>
      <c r="S24" s="2" t="s">
        <v>31</v>
      </c>
      <c r="T24" s="2" t="s">
        <v>31</v>
      </c>
      <c r="U24" s="2" t="s">
        <v>31</v>
      </c>
      <c r="V24" s="2" t="s">
        <v>31</v>
      </c>
      <c r="W24" s="2"/>
      <c r="X24" s="2"/>
      <c r="Y24" s="2" t="s">
        <v>31</v>
      </c>
      <c r="Z24" s="2" t="s">
        <v>31</v>
      </c>
      <c r="AA24" s="2" t="s">
        <v>31</v>
      </c>
      <c r="AB24" s="2" t="s">
        <v>31</v>
      </c>
      <c r="AC24" s="2" t="s">
        <v>31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2" t="s">
        <v>31</v>
      </c>
      <c r="BJ24" s="5"/>
      <c r="BK24" s="5"/>
      <c r="BL24" s="5"/>
      <c r="BM24" s="5"/>
      <c r="BN24" s="5"/>
      <c r="BO24" s="5"/>
      <c r="BP24" s="5"/>
      <c r="BQ24" s="5"/>
      <c r="BR24" s="14" t="s">
        <v>31</v>
      </c>
      <c r="BS24" s="5"/>
      <c r="BT24" s="5"/>
      <c r="BU24" s="14" t="s">
        <v>31</v>
      </c>
      <c r="BV24" s="5"/>
      <c r="BW24" s="5"/>
      <c r="BX24" s="14" t="s">
        <v>31</v>
      </c>
      <c r="BY24" s="5"/>
      <c r="BZ24" s="5"/>
      <c r="CA24" s="5"/>
      <c r="CB24" s="5"/>
      <c r="CC24" s="5"/>
      <c r="CD24" s="135">
        <f t="shared" si="0"/>
        <v>16</v>
      </c>
      <c r="CE24" s="28" t="s">
        <v>700</v>
      </c>
      <c r="CF24" s="28" t="s">
        <v>580</v>
      </c>
      <c r="CG24" s="20" t="s">
        <v>1069</v>
      </c>
      <c r="CH24" s="27" t="str">
        <f t="shared" si="1"/>
        <v>4</v>
      </c>
    </row>
    <row r="25" spans="1:86" ht="50.45" customHeight="1" x14ac:dyDescent="0.25">
      <c r="A25" s="63">
        <f t="shared" si="2"/>
        <v>22</v>
      </c>
      <c r="B25" s="299" t="s">
        <v>695</v>
      </c>
      <c r="C25" s="134" t="s">
        <v>696</v>
      </c>
      <c r="D25" s="38"/>
      <c r="E25" s="134">
        <v>900</v>
      </c>
      <c r="F25" s="134"/>
      <c r="G25" s="134" t="s">
        <v>226</v>
      </c>
      <c r="H25" s="134" t="s">
        <v>15</v>
      </c>
      <c r="I25" s="1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 t="s">
        <v>31</v>
      </c>
      <c r="AC25" s="2"/>
      <c r="AD25" s="2"/>
      <c r="AE25" s="2" t="s">
        <v>31</v>
      </c>
      <c r="AF25" s="2"/>
      <c r="AG25" s="2"/>
      <c r="AH25" s="2"/>
      <c r="AI25" s="2"/>
      <c r="AJ25" s="2"/>
      <c r="AK25" s="2" t="s">
        <v>31</v>
      </c>
      <c r="AL25" s="2" t="s">
        <v>31</v>
      </c>
      <c r="AM25" s="2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2" t="s">
        <v>31</v>
      </c>
      <c r="BG25" s="5"/>
      <c r="BH25" s="5"/>
      <c r="BI25" s="5"/>
      <c r="BJ25" s="5"/>
      <c r="BK25" s="5"/>
      <c r="BL25" s="43" t="s">
        <v>31</v>
      </c>
      <c r="BM25" s="5"/>
      <c r="BN25" s="5"/>
      <c r="BO25" s="43" t="s">
        <v>31</v>
      </c>
      <c r="BP25" s="5"/>
      <c r="BQ25" s="5"/>
      <c r="BR25" s="5"/>
      <c r="BS25" s="5"/>
      <c r="BT25" s="5"/>
      <c r="BU25" s="14" t="s">
        <v>31</v>
      </c>
      <c r="BV25" s="5"/>
      <c r="BW25" s="5"/>
      <c r="BX25" s="5"/>
      <c r="BY25" s="5"/>
      <c r="BZ25" s="5"/>
      <c r="CA25" s="5"/>
      <c r="CB25" s="5"/>
      <c r="CC25" s="5"/>
      <c r="CD25" s="135">
        <f t="shared" si="0"/>
        <v>8</v>
      </c>
      <c r="CE25" s="28" t="s">
        <v>697</v>
      </c>
      <c r="CF25" s="28"/>
      <c r="CG25" s="20" t="s">
        <v>1062</v>
      </c>
      <c r="CH25" s="27" t="str">
        <f t="shared" si="1"/>
        <v>4</v>
      </c>
    </row>
    <row r="26" spans="1:86" ht="10.15" customHeight="1" x14ac:dyDescent="0.25">
      <c r="A26" s="151"/>
      <c r="B26" s="152"/>
      <c r="C26" s="153"/>
      <c r="D26" s="153"/>
      <c r="E26" s="153"/>
      <c r="F26" s="153"/>
      <c r="G26" s="153"/>
      <c r="H26" s="215"/>
      <c r="I26" s="215"/>
      <c r="J26" s="149"/>
      <c r="K26" s="154"/>
      <c r="L26" s="154"/>
      <c r="M26" s="154"/>
      <c r="N26" s="154"/>
      <c r="O26" s="154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8"/>
      <c r="BZ26" s="158"/>
      <c r="CA26" s="158"/>
      <c r="CB26" s="158"/>
      <c r="CC26" s="158"/>
      <c r="CD26" s="159"/>
      <c r="CE26" s="160"/>
      <c r="CF26" s="160"/>
      <c r="CG26" s="88"/>
      <c r="CH26" s="161"/>
    </row>
    <row r="27" spans="1:86" ht="50.45" customHeight="1" x14ac:dyDescent="0.25">
      <c r="A27" s="63">
        <f t="shared" ref="A27:A106" si="5">ROW()-4</f>
        <v>23</v>
      </c>
      <c r="B27" s="138" t="s">
        <v>574</v>
      </c>
      <c r="C27" s="134"/>
      <c r="D27" s="134"/>
      <c r="E27" s="134"/>
      <c r="F27" s="134"/>
      <c r="G27" s="134" t="s">
        <v>226</v>
      </c>
      <c r="H27" s="134" t="s">
        <v>30</v>
      </c>
      <c r="I27" s="99">
        <v>550</v>
      </c>
      <c r="J27" s="2"/>
      <c r="K27" s="2"/>
      <c r="L27" s="2"/>
      <c r="M27" s="2" t="s">
        <v>31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2" t="s">
        <v>31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135">
        <f t="shared" ref="CD27:CD55" si="6">COUNTA(J27:CC27)</f>
        <v>2</v>
      </c>
      <c r="CE27" s="28"/>
      <c r="CF27" s="28"/>
      <c r="CG27" s="20" t="s">
        <v>949</v>
      </c>
      <c r="CH27" s="27" t="str">
        <f t="shared" si="1"/>
        <v>2</v>
      </c>
    </row>
    <row r="28" spans="1:86" ht="50.45" customHeight="1" x14ac:dyDescent="0.25">
      <c r="A28" s="63">
        <f t="shared" si="5"/>
        <v>24</v>
      </c>
      <c r="B28" s="138" t="s">
        <v>278</v>
      </c>
      <c r="C28" s="134" t="s">
        <v>279</v>
      </c>
      <c r="D28" s="134" t="s">
        <v>280</v>
      </c>
      <c r="E28" s="134" t="s">
        <v>281</v>
      </c>
      <c r="F28" s="134" t="s">
        <v>282</v>
      </c>
      <c r="G28" s="134" t="s">
        <v>226</v>
      </c>
      <c r="H28" s="134" t="s">
        <v>30</v>
      </c>
      <c r="I28" s="134">
        <v>1500</v>
      </c>
      <c r="J28" s="2"/>
      <c r="K28" s="2"/>
      <c r="L28" s="2"/>
      <c r="M28" s="2" t="s">
        <v>31</v>
      </c>
      <c r="N28" s="2"/>
      <c r="O28" s="2"/>
      <c r="P28" s="2" t="s">
        <v>31</v>
      </c>
      <c r="Q28" s="2" t="s">
        <v>31</v>
      </c>
      <c r="R28" s="2"/>
      <c r="S28" s="2" t="s">
        <v>31</v>
      </c>
      <c r="T28" s="2"/>
      <c r="U28" s="2"/>
      <c r="V28" s="2"/>
      <c r="W28" s="2"/>
      <c r="X28" s="2"/>
      <c r="Y28" s="2" t="s">
        <v>31</v>
      </c>
      <c r="Z28" s="2"/>
      <c r="AA28" s="2"/>
      <c r="AB28" s="2" t="s">
        <v>31</v>
      </c>
      <c r="AC28" s="2"/>
      <c r="AD28" s="2"/>
      <c r="AE28" s="2"/>
      <c r="AF28" s="2"/>
      <c r="AG28" s="2"/>
      <c r="AH28" s="2"/>
      <c r="AI28" s="2"/>
      <c r="AJ28" s="2"/>
      <c r="AK28" s="2" t="s">
        <v>31</v>
      </c>
      <c r="AL28" s="2"/>
      <c r="AM28" s="2"/>
      <c r="AN28" s="14" t="s">
        <v>31</v>
      </c>
      <c r="AO28" s="5"/>
      <c r="AP28" s="5"/>
      <c r="AQ28" s="5" t="s">
        <v>31</v>
      </c>
      <c r="AR28" s="5"/>
      <c r="AS28" s="5"/>
      <c r="AT28" s="2" t="s">
        <v>31</v>
      </c>
      <c r="AU28" s="2" t="s">
        <v>31</v>
      </c>
      <c r="AV28" s="5"/>
      <c r="AW28" s="5"/>
      <c r="AX28" s="5"/>
      <c r="AY28" s="5"/>
      <c r="AZ28" s="2" t="s">
        <v>31</v>
      </c>
      <c r="BA28" s="5"/>
      <c r="BB28" s="5"/>
      <c r="BC28" s="2"/>
      <c r="BD28" s="5"/>
      <c r="BE28" s="5"/>
      <c r="BF28" s="14"/>
      <c r="BG28" s="5"/>
      <c r="BH28" s="5"/>
      <c r="BI28" s="2" t="s">
        <v>31</v>
      </c>
      <c r="BJ28" s="5"/>
      <c r="BK28" s="5"/>
      <c r="BL28" s="43"/>
      <c r="BM28" s="5"/>
      <c r="BN28" s="5"/>
      <c r="BO28" s="5"/>
      <c r="BP28" s="5"/>
      <c r="BQ28" s="5"/>
      <c r="BR28" s="14" t="s">
        <v>31</v>
      </c>
      <c r="BS28" s="14" t="s">
        <v>31</v>
      </c>
      <c r="BT28" s="5"/>
      <c r="BU28" s="14" t="s">
        <v>31</v>
      </c>
      <c r="BV28" s="5"/>
      <c r="BW28" s="5"/>
      <c r="BX28" s="5"/>
      <c r="BY28" s="5"/>
      <c r="BZ28" s="5"/>
      <c r="CA28" s="5"/>
      <c r="CB28" s="5"/>
      <c r="CC28" s="5"/>
      <c r="CD28" s="135">
        <f t="shared" si="6"/>
        <v>16</v>
      </c>
      <c r="CE28" s="28" t="s">
        <v>858</v>
      </c>
      <c r="CF28" s="28" t="s">
        <v>773</v>
      </c>
      <c r="CG28" s="20" t="s">
        <v>1047</v>
      </c>
      <c r="CH28" s="27" t="str">
        <f t="shared" si="1"/>
        <v>4</v>
      </c>
    </row>
    <row r="29" spans="1:86" ht="50.45" customHeight="1" x14ac:dyDescent="0.25">
      <c r="A29" s="63">
        <f t="shared" si="5"/>
        <v>25</v>
      </c>
      <c r="B29" s="138" t="s">
        <v>270</v>
      </c>
      <c r="C29" s="134" t="s">
        <v>271</v>
      </c>
      <c r="D29" s="134">
        <v>4312331021</v>
      </c>
      <c r="E29" s="134" t="s">
        <v>272</v>
      </c>
      <c r="F29" s="134"/>
      <c r="G29" s="134" t="s">
        <v>226</v>
      </c>
      <c r="H29" s="134" t="s">
        <v>30</v>
      </c>
      <c r="I29" s="134">
        <v>500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31</v>
      </c>
      <c r="AC29" s="2"/>
      <c r="AD29" s="2"/>
      <c r="AE29" s="2"/>
      <c r="AF29" s="2"/>
      <c r="AG29" s="2"/>
      <c r="AH29" s="2"/>
      <c r="AI29" s="2"/>
      <c r="AJ29" s="2"/>
      <c r="AK29" s="2" t="s">
        <v>31</v>
      </c>
      <c r="AL29" s="2" t="s">
        <v>31</v>
      </c>
      <c r="AM29" s="2"/>
      <c r="AN29" s="14"/>
      <c r="AO29" s="5"/>
      <c r="AP29" s="5"/>
      <c r="AQ29" s="5"/>
      <c r="AR29" s="5"/>
      <c r="AS29" s="5"/>
      <c r="AT29" s="2" t="s">
        <v>31</v>
      </c>
      <c r="AU29" s="5"/>
      <c r="AV29" s="5"/>
      <c r="AW29" s="2" t="s">
        <v>31</v>
      </c>
      <c r="AX29" s="5"/>
      <c r="AY29" s="5"/>
      <c r="AZ29" s="2" t="s">
        <v>31</v>
      </c>
      <c r="BA29" s="5"/>
      <c r="BB29" s="5"/>
      <c r="BC29" s="2"/>
      <c r="BD29" s="5"/>
      <c r="BE29" s="5"/>
      <c r="BF29" s="14"/>
      <c r="BG29" s="5"/>
      <c r="BH29" s="5"/>
      <c r="BI29" s="14"/>
      <c r="BJ29" s="5"/>
      <c r="BK29" s="5"/>
      <c r="BL29" s="43"/>
      <c r="BM29" s="43"/>
      <c r="BN29" s="5"/>
      <c r="BO29" s="43"/>
      <c r="BP29" s="5"/>
      <c r="BQ29" s="5"/>
      <c r="BR29" s="5"/>
      <c r="BS29" s="5"/>
      <c r="BT29" s="5"/>
      <c r="BU29" s="14" t="s">
        <v>31</v>
      </c>
      <c r="BV29" s="5"/>
      <c r="BW29" s="5"/>
      <c r="BX29" s="5"/>
      <c r="BY29" s="5"/>
      <c r="BZ29" s="5"/>
      <c r="CA29" s="5"/>
      <c r="CB29" s="5"/>
      <c r="CC29" s="5"/>
      <c r="CD29" s="135">
        <f t="shared" si="6"/>
        <v>7</v>
      </c>
      <c r="CE29" s="28" t="s">
        <v>922</v>
      </c>
      <c r="CF29" s="28" t="s">
        <v>871</v>
      </c>
      <c r="CG29" s="20" t="s">
        <v>1058</v>
      </c>
      <c r="CH29" s="27" t="str">
        <f t="shared" ref="CH29:CH47" si="7">IF(CD29&lt;=0,"0",IF(CD29=1,"1",IF(CD29=2,"2",IF(CD29=3,"3",IF(CD29&gt;=4,"4")))))</f>
        <v>4</v>
      </c>
    </row>
    <row r="30" spans="1:86" ht="50.45" customHeight="1" x14ac:dyDescent="0.25">
      <c r="A30" s="63">
        <f t="shared" si="5"/>
        <v>26</v>
      </c>
      <c r="B30" s="138" t="s">
        <v>256</v>
      </c>
      <c r="C30" s="134" t="s">
        <v>257</v>
      </c>
      <c r="D30" s="134">
        <v>9944056384</v>
      </c>
      <c r="E30" s="134" t="s">
        <v>258</v>
      </c>
      <c r="F30" s="134"/>
      <c r="G30" s="134" t="s">
        <v>226</v>
      </c>
      <c r="H30" s="134" t="s">
        <v>30</v>
      </c>
      <c r="I30" s="134">
        <v>2800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31</v>
      </c>
      <c r="AC30" s="2"/>
      <c r="AD30" s="2"/>
      <c r="AE30" s="2" t="s">
        <v>31</v>
      </c>
      <c r="AF30" s="2"/>
      <c r="AG30" s="2"/>
      <c r="AH30" s="2"/>
      <c r="AI30" s="2"/>
      <c r="AJ30" s="2"/>
      <c r="AK30" s="2" t="s">
        <v>31</v>
      </c>
      <c r="AL30" s="2"/>
      <c r="AM30" s="2"/>
      <c r="AN30" s="14"/>
      <c r="AO30" s="5"/>
      <c r="AP30" s="5"/>
      <c r="AQ30" s="14"/>
      <c r="AR30" s="5"/>
      <c r="AS30" s="5"/>
      <c r="AT30" s="2" t="s">
        <v>31</v>
      </c>
      <c r="AU30" s="2" t="s">
        <v>31</v>
      </c>
      <c r="AV30" s="5"/>
      <c r="AW30" s="2" t="s">
        <v>31</v>
      </c>
      <c r="AX30" s="2" t="s">
        <v>31</v>
      </c>
      <c r="AY30" s="5"/>
      <c r="AZ30" s="2" t="s">
        <v>31</v>
      </c>
      <c r="BA30" s="2" t="s">
        <v>31</v>
      </c>
      <c r="BB30" s="5"/>
      <c r="BC30" s="2"/>
      <c r="BD30" s="5"/>
      <c r="BE30" s="5"/>
      <c r="BF30" s="2"/>
      <c r="BG30" s="5"/>
      <c r="BH30" s="5"/>
      <c r="BI30" s="2" t="s">
        <v>31</v>
      </c>
      <c r="BJ30" s="5"/>
      <c r="BK30" s="5"/>
      <c r="BL30" s="16"/>
      <c r="BM30" s="5"/>
      <c r="BN30" s="5"/>
      <c r="BO30" s="2"/>
      <c r="BP30" s="5"/>
      <c r="BQ30" s="5"/>
      <c r="BR30" s="14"/>
      <c r="BS30" s="5"/>
      <c r="BT30" s="5"/>
      <c r="BU30" s="2"/>
      <c r="BV30" s="5"/>
      <c r="BW30" s="5"/>
      <c r="BX30" s="14" t="s">
        <v>31</v>
      </c>
      <c r="BY30" s="5"/>
      <c r="BZ30" s="5"/>
      <c r="CA30" s="2"/>
      <c r="CB30" s="5"/>
      <c r="CC30" s="5"/>
      <c r="CD30" s="135">
        <f t="shared" si="6"/>
        <v>11</v>
      </c>
      <c r="CE30" s="28" t="s">
        <v>923</v>
      </c>
      <c r="CF30" s="28" t="s">
        <v>719</v>
      </c>
      <c r="CG30" s="20" t="s">
        <v>1080</v>
      </c>
      <c r="CH30" s="27" t="str">
        <f t="shared" si="7"/>
        <v>4</v>
      </c>
    </row>
    <row r="31" spans="1:86" ht="50.45" customHeight="1" x14ac:dyDescent="0.25">
      <c r="A31" s="63">
        <f t="shared" si="5"/>
        <v>27</v>
      </c>
      <c r="B31" s="299" t="s">
        <v>390</v>
      </c>
      <c r="C31" s="134" t="s">
        <v>496</v>
      </c>
      <c r="D31" s="134" t="s">
        <v>497</v>
      </c>
      <c r="E31" s="134" t="s">
        <v>498</v>
      </c>
      <c r="F31" s="134"/>
      <c r="G31" s="134" t="s">
        <v>226</v>
      </c>
      <c r="H31" s="134" t="s">
        <v>30</v>
      </c>
      <c r="I31" s="134">
        <v>800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31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4" t="s">
        <v>31</v>
      </c>
      <c r="AO31" s="14" t="s">
        <v>31</v>
      </c>
      <c r="AP31" s="5"/>
      <c r="AQ31" s="5" t="s">
        <v>31</v>
      </c>
      <c r="AR31" s="5" t="s">
        <v>31</v>
      </c>
      <c r="AS31" s="5"/>
      <c r="AT31" s="5"/>
      <c r="AU31" s="5"/>
      <c r="AV31" s="5"/>
      <c r="AW31" s="2" t="s">
        <v>31</v>
      </c>
      <c r="AX31" s="2" t="s">
        <v>31</v>
      </c>
      <c r="AY31" s="2" t="s">
        <v>31</v>
      </c>
      <c r="AZ31" s="5"/>
      <c r="BA31" s="5"/>
      <c r="BB31" s="5"/>
      <c r="BC31" s="5"/>
      <c r="BD31" s="5"/>
      <c r="BE31" s="5"/>
      <c r="BF31" s="5"/>
      <c r="BG31" s="5"/>
      <c r="BH31" s="5"/>
      <c r="BI31" s="2" t="s">
        <v>31</v>
      </c>
      <c r="BJ31" s="5"/>
      <c r="BK31" s="5"/>
      <c r="BL31" s="43" t="s">
        <v>31</v>
      </c>
      <c r="BM31" s="5"/>
      <c r="BN31" s="5"/>
      <c r="BO31" s="43" t="s">
        <v>31</v>
      </c>
      <c r="BP31" s="5"/>
      <c r="BQ31" s="5"/>
      <c r="BR31" s="5"/>
      <c r="BS31" s="5"/>
      <c r="BT31" s="5"/>
      <c r="BU31" s="14" t="s">
        <v>31</v>
      </c>
      <c r="BV31" s="5"/>
      <c r="BW31" s="5"/>
      <c r="BX31" s="5"/>
      <c r="BY31" s="5"/>
      <c r="BZ31" s="5"/>
      <c r="CA31" s="5"/>
      <c r="CB31" s="5"/>
      <c r="CC31" s="5"/>
      <c r="CD31" s="135">
        <f t="shared" si="6"/>
        <v>12</v>
      </c>
      <c r="CE31" s="28" t="s">
        <v>855</v>
      </c>
      <c r="CF31" s="28" t="s">
        <v>685</v>
      </c>
      <c r="CG31" s="20" t="s">
        <v>1065</v>
      </c>
      <c r="CH31" s="27" t="str">
        <f t="shared" si="7"/>
        <v>4</v>
      </c>
    </row>
    <row r="32" spans="1:86" ht="50.45" customHeight="1" x14ac:dyDescent="0.25">
      <c r="A32" s="63">
        <f t="shared" si="5"/>
        <v>28</v>
      </c>
      <c r="B32" s="138" t="s">
        <v>474</v>
      </c>
      <c r="C32" s="134" t="s">
        <v>475</v>
      </c>
      <c r="D32" s="38"/>
      <c r="E32" s="134">
        <v>605</v>
      </c>
      <c r="F32" s="134"/>
      <c r="G32" s="134" t="s">
        <v>226</v>
      </c>
      <c r="H32" s="134" t="s">
        <v>30</v>
      </c>
      <c r="I32" s="134">
        <v>605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31</v>
      </c>
      <c r="AL32" s="2" t="s">
        <v>31</v>
      </c>
      <c r="AM32" s="2"/>
      <c r="AN32" s="14" t="s">
        <v>31</v>
      </c>
      <c r="AO32" s="5"/>
      <c r="AP32" s="5"/>
      <c r="AQ32" s="5"/>
      <c r="AR32" s="5"/>
      <c r="AS32" s="5"/>
      <c r="AT32" s="5"/>
      <c r="AU32" s="5"/>
      <c r="AV32" s="5"/>
      <c r="AW32" s="2" t="s">
        <v>31</v>
      </c>
      <c r="AX32" s="5"/>
      <c r="AY32" s="5"/>
      <c r="AZ32" s="5"/>
      <c r="BA32" s="5"/>
      <c r="BB32" s="5"/>
      <c r="BC32" s="2" t="s">
        <v>31</v>
      </c>
      <c r="BD32" s="5"/>
      <c r="BE32" s="5"/>
      <c r="BF32" s="5"/>
      <c r="BG32" s="5"/>
      <c r="BH32" s="5"/>
      <c r="BI32" s="2" t="s">
        <v>31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14" t="s">
        <v>31</v>
      </c>
      <c r="BV32" s="5"/>
      <c r="BW32" s="5"/>
      <c r="BX32" s="14" t="s">
        <v>31</v>
      </c>
      <c r="BY32" s="5"/>
      <c r="BZ32" s="5"/>
      <c r="CA32" s="5"/>
      <c r="CB32" s="5"/>
      <c r="CC32" s="5"/>
      <c r="CD32" s="135">
        <f t="shared" si="6"/>
        <v>8</v>
      </c>
      <c r="CE32" s="220" t="s">
        <v>957</v>
      </c>
      <c r="CF32" s="28" t="s">
        <v>838</v>
      </c>
      <c r="CG32" s="20" t="s">
        <v>1073</v>
      </c>
      <c r="CH32" s="27" t="str">
        <f t="shared" si="7"/>
        <v>4</v>
      </c>
    </row>
    <row r="33" spans="1:86" ht="50.45" customHeight="1" x14ac:dyDescent="0.25">
      <c r="A33" s="63">
        <f t="shared" si="5"/>
        <v>29</v>
      </c>
      <c r="B33" s="138" t="s">
        <v>886</v>
      </c>
      <c r="C33" s="134" t="s">
        <v>887</v>
      </c>
      <c r="D33" s="38"/>
      <c r="E33" s="134">
        <v>650</v>
      </c>
      <c r="F33" s="134"/>
      <c r="G33" s="134" t="s">
        <v>226</v>
      </c>
      <c r="H33" s="134" t="s">
        <v>30</v>
      </c>
      <c r="I33" s="134">
        <v>650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5"/>
      <c r="AP33" s="5"/>
      <c r="AQ33" s="2"/>
      <c r="AR33" s="2"/>
      <c r="AS33" s="5"/>
      <c r="AT33" s="2" t="s">
        <v>31</v>
      </c>
      <c r="AU33" s="5"/>
      <c r="AV33" s="5"/>
      <c r="AW33" s="2" t="s">
        <v>31</v>
      </c>
      <c r="AX33" s="5"/>
      <c r="AY33" s="5"/>
      <c r="AZ33" s="2" t="s">
        <v>31</v>
      </c>
      <c r="BA33" s="2" t="s">
        <v>31</v>
      </c>
      <c r="BB33" s="5"/>
      <c r="BC33" s="2" t="s">
        <v>31</v>
      </c>
      <c r="BD33" s="2" t="s">
        <v>31</v>
      </c>
      <c r="BE33" s="5"/>
      <c r="BF33" s="2" t="s">
        <v>31</v>
      </c>
      <c r="BG33" s="5"/>
      <c r="BH33" s="5"/>
      <c r="BI33" s="2"/>
      <c r="BJ33" s="2"/>
      <c r="BK33" s="5"/>
      <c r="BL33" s="16"/>
      <c r="BM33" s="16"/>
      <c r="BN33" s="5"/>
      <c r="BO33" s="2" t="s">
        <v>31</v>
      </c>
      <c r="BP33" s="2"/>
      <c r="BQ33" s="5"/>
      <c r="BR33" s="14" t="s">
        <v>31</v>
      </c>
      <c r="BS33" s="5"/>
      <c r="BT33" s="5"/>
      <c r="BU33" s="14" t="s">
        <v>31</v>
      </c>
      <c r="BV33" s="5"/>
      <c r="BW33" s="5"/>
      <c r="BX33" s="2" t="s">
        <v>31</v>
      </c>
      <c r="BY33" s="5"/>
      <c r="BZ33" s="5"/>
      <c r="CA33" s="2"/>
      <c r="CB33" s="5"/>
      <c r="CC33" s="5"/>
      <c r="CD33" s="135">
        <f t="shared" si="6"/>
        <v>11</v>
      </c>
      <c r="CE33" s="28" t="s">
        <v>888</v>
      </c>
      <c r="CF33" s="28"/>
      <c r="CG33" s="20" t="s">
        <v>1091</v>
      </c>
      <c r="CH33" s="27" t="str">
        <f t="shared" si="7"/>
        <v>4</v>
      </c>
    </row>
    <row r="34" spans="1:86" ht="50.45" customHeight="1" x14ac:dyDescent="0.25">
      <c r="A34" s="63">
        <f t="shared" si="5"/>
        <v>30</v>
      </c>
      <c r="B34" s="138" t="s">
        <v>478</v>
      </c>
      <c r="C34" s="134" t="s">
        <v>479</v>
      </c>
      <c r="D34" s="134">
        <v>8508311928</v>
      </c>
      <c r="E34" s="134" t="s">
        <v>480</v>
      </c>
      <c r="F34" s="134"/>
      <c r="G34" s="134" t="s">
        <v>226</v>
      </c>
      <c r="H34" s="134" t="s">
        <v>30</v>
      </c>
      <c r="I34" s="134">
        <v>400</v>
      </c>
      <c r="J34" s="2"/>
      <c r="K34" s="2"/>
      <c r="L34" s="2"/>
      <c r="M34" s="2"/>
      <c r="N34" s="2"/>
      <c r="O34" s="2"/>
      <c r="P34" s="2"/>
      <c r="Q34" s="2"/>
      <c r="R34" s="2"/>
      <c r="S34" s="2" t="s">
        <v>31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 t="s">
        <v>31</v>
      </c>
      <c r="AL34" s="2"/>
      <c r="AM34" s="2"/>
      <c r="AN34" s="14" t="s">
        <v>31</v>
      </c>
      <c r="AO34" s="5"/>
      <c r="AP34" s="5"/>
      <c r="AQ34" s="5"/>
      <c r="AR34" s="5"/>
      <c r="AS34" s="5"/>
      <c r="AT34" s="2" t="s">
        <v>31</v>
      </c>
      <c r="AU34" s="5"/>
      <c r="AV34" s="5"/>
      <c r="AW34" s="2" t="s">
        <v>31</v>
      </c>
      <c r="AX34" s="5"/>
      <c r="AY34" s="5"/>
      <c r="AZ34" s="2" t="s">
        <v>31</v>
      </c>
      <c r="BA34" s="2" t="s">
        <v>31</v>
      </c>
      <c r="BB34" s="5"/>
      <c r="BC34" s="2" t="s">
        <v>31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14" t="s">
        <v>31</v>
      </c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135">
        <f t="shared" si="6"/>
        <v>9</v>
      </c>
      <c r="CE34" s="28" t="s">
        <v>938</v>
      </c>
      <c r="CF34" s="28" t="s">
        <v>810</v>
      </c>
      <c r="CG34" s="20" t="s">
        <v>1036</v>
      </c>
      <c r="CH34" s="27" t="str">
        <f t="shared" si="7"/>
        <v>4</v>
      </c>
    </row>
    <row r="35" spans="1:86" ht="50.45" customHeight="1" x14ac:dyDescent="0.25">
      <c r="A35" s="63">
        <f t="shared" si="5"/>
        <v>31</v>
      </c>
      <c r="B35" s="138" t="s">
        <v>292</v>
      </c>
      <c r="C35" s="134" t="s">
        <v>293</v>
      </c>
      <c r="D35" s="134" t="s">
        <v>294</v>
      </c>
      <c r="E35" s="134" t="s">
        <v>295</v>
      </c>
      <c r="F35" s="134" t="s">
        <v>296</v>
      </c>
      <c r="G35" s="134" t="s">
        <v>226</v>
      </c>
      <c r="H35" s="134" t="s">
        <v>30</v>
      </c>
      <c r="I35" s="134">
        <v>2010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 t="s">
        <v>31</v>
      </c>
      <c r="Z35" s="2"/>
      <c r="AA35" s="2"/>
      <c r="AB35" s="2" t="s">
        <v>31</v>
      </c>
      <c r="AC35" s="2"/>
      <c r="AD35" s="2"/>
      <c r="AE35" s="2"/>
      <c r="AF35" s="2"/>
      <c r="AG35" s="2"/>
      <c r="AH35" s="2"/>
      <c r="AI35" s="2"/>
      <c r="AJ35" s="2"/>
      <c r="AK35" s="2" t="s">
        <v>31</v>
      </c>
      <c r="AL35" s="2"/>
      <c r="AM35" s="2"/>
      <c r="AN35" s="14" t="s">
        <v>31</v>
      </c>
      <c r="AO35" s="5"/>
      <c r="AP35" s="5"/>
      <c r="AQ35" s="5" t="s">
        <v>31</v>
      </c>
      <c r="AR35" s="5" t="s">
        <v>31</v>
      </c>
      <c r="AS35" s="5" t="s">
        <v>31</v>
      </c>
      <c r="AT35" s="2" t="s">
        <v>31</v>
      </c>
      <c r="AU35" s="5"/>
      <c r="AV35" s="5"/>
      <c r="AW35" s="2" t="s">
        <v>31</v>
      </c>
      <c r="AX35" s="2" t="s">
        <v>31</v>
      </c>
      <c r="AY35" s="5"/>
      <c r="AZ35" s="2"/>
      <c r="BA35" s="5"/>
      <c r="BB35" s="5"/>
      <c r="BC35" s="2"/>
      <c r="BD35" s="5"/>
      <c r="BE35" s="5"/>
      <c r="BF35" s="14" t="s">
        <v>31</v>
      </c>
      <c r="BG35" s="5"/>
      <c r="BH35" s="5"/>
      <c r="BI35" s="14" t="s">
        <v>31</v>
      </c>
      <c r="BJ35" s="14" t="s">
        <v>31</v>
      </c>
      <c r="BK35" s="5"/>
      <c r="BL35" s="43"/>
      <c r="BM35" s="5"/>
      <c r="BN35" s="5"/>
      <c r="BO35" s="5"/>
      <c r="BP35" s="5"/>
      <c r="BQ35" s="5"/>
      <c r="BR35" s="14" t="s">
        <v>31</v>
      </c>
      <c r="BS35" s="5"/>
      <c r="BT35" s="5"/>
      <c r="BU35" s="14" t="s">
        <v>31</v>
      </c>
      <c r="BV35" s="5"/>
      <c r="BW35" s="5"/>
      <c r="BX35" s="5"/>
      <c r="BY35" s="5"/>
      <c r="BZ35" s="5"/>
      <c r="CA35" s="5"/>
      <c r="CB35" s="5"/>
      <c r="CC35" s="5"/>
      <c r="CD35" s="135">
        <f t="shared" si="6"/>
        <v>15</v>
      </c>
      <c r="CE35" s="28" t="s">
        <v>869</v>
      </c>
      <c r="CF35" s="28" t="s">
        <v>837</v>
      </c>
      <c r="CG35" s="20" t="s">
        <v>1057</v>
      </c>
      <c r="CH35" s="27" t="str">
        <f t="shared" si="7"/>
        <v>4</v>
      </c>
    </row>
    <row r="36" spans="1:86" ht="50.45" customHeight="1" x14ac:dyDescent="0.25">
      <c r="A36" s="63">
        <f t="shared" si="5"/>
        <v>32</v>
      </c>
      <c r="B36" s="299" t="s">
        <v>952</v>
      </c>
      <c r="C36" s="134"/>
      <c r="D36" s="134"/>
      <c r="E36" s="134"/>
      <c r="F36" s="134"/>
      <c r="G36" s="134" t="s">
        <v>226</v>
      </c>
      <c r="H36" s="134" t="s">
        <v>30</v>
      </c>
      <c r="I36" s="13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14"/>
      <c r="AO36" s="5"/>
      <c r="AP36" s="5"/>
      <c r="AQ36" s="5"/>
      <c r="AR36" s="5"/>
      <c r="AS36" s="5"/>
      <c r="AT36" s="2"/>
      <c r="AU36" s="5"/>
      <c r="AV36" s="5"/>
      <c r="AW36" s="2"/>
      <c r="AX36" s="2"/>
      <c r="AY36" s="5"/>
      <c r="AZ36" s="2"/>
      <c r="BA36" s="5"/>
      <c r="BB36" s="5"/>
      <c r="BC36" s="2" t="s">
        <v>31</v>
      </c>
      <c r="BD36" s="5"/>
      <c r="BE36" s="5"/>
      <c r="BF36" s="14"/>
      <c r="BG36" s="5"/>
      <c r="BH36" s="5"/>
      <c r="BI36" s="5"/>
      <c r="BJ36" s="5"/>
      <c r="BK36" s="5"/>
      <c r="BL36" s="43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135">
        <f t="shared" si="6"/>
        <v>1</v>
      </c>
      <c r="CE36" s="28"/>
      <c r="CF36" s="28"/>
      <c r="CG36" s="20" t="s">
        <v>953</v>
      </c>
      <c r="CH36" s="27" t="str">
        <f t="shared" si="7"/>
        <v>1</v>
      </c>
    </row>
    <row r="37" spans="1:86" ht="50.45" customHeight="1" x14ac:dyDescent="0.25">
      <c r="A37" s="63">
        <f t="shared" si="5"/>
        <v>33</v>
      </c>
      <c r="B37" s="138" t="s">
        <v>467</v>
      </c>
      <c r="C37" s="134" t="s">
        <v>542</v>
      </c>
      <c r="D37" s="134"/>
      <c r="E37" s="134"/>
      <c r="F37" s="134" t="s">
        <v>471</v>
      </c>
      <c r="G37" s="134" t="s">
        <v>226</v>
      </c>
      <c r="H37" s="134" t="s">
        <v>30</v>
      </c>
      <c r="I37" s="134">
        <v>900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31</v>
      </c>
      <c r="W37" s="2"/>
      <c r="X37" s="2"/>
      <c r="Y37" s="2"/>
      <c r="Z37" s="2"/>
      <c r="AA37" s="2"/>
      <c r="AB37" s="2" t="s">
        <v>31</v>
      </c>
      <c r="AC37" s="2"/>
      <c r="AD37" s="2"/>
      <c r="AE37" s="2"/>
      <c r="AF37" s="2"/>
      <c r="AG37" s="2"/>
      <c r="AH37" s="2" t="s">
        <v>31</v>
      </c>
      <c r="AI37" s="2"/>
      <c r="AJ37" s="2"/>
      <c r="AK37" s="2" t="s">
        <v>31</v>
      </c>
      <c r="AL37" s="2"/>
      <c r="AM37" s="2"/>
      <c r="AN37" s="5"/>
      <c r="AO37" s="5"/>
      <c r="AP37" s="5"/>
      <c r="AQ37" s="5"/>
      <c r="AR37" s="5"/>
      <c r="AS37" s="5"/>
      <c r="AT37" s="2" t="s">
        <v>31</v>
      </c>
      <c r="AU37" s="2" t="s">
        <v>31</v>
      </c>
      <c r="AV37" s="5"/>
      <c r="AW37" s="2" t="s">
        <v>31</v>
      </c>
      <c r="AX37" s="5"/>
      <c r="AY37" s="5"/>
      <c r="AZ37" s="2" t="s">
        <v>31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43" t="s">
        <v>31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135">
        <f t="shared" si="6"/>
        <v>9</v>
      </c>
      <c r="CE37" s="28" t="s">
        <v>883</v>
      </c>
      <c r="CF37" s="28" t="s">
        <v>806</v>
      </c>
      <c r="CG37" s="20" t="s">
        <v>1008</v>
      </c>
      <c r="CH37" s="27" t="str">
        <f t="shared" si="7"/>
        <v>4</v>
      </c>
    </row>
    <row r="38" spans="1:86" ht="50.45" customHeight="1" x14ac:dyDescent="0.25">
      <c r="A38" s="63">
        <f t="shared" si="5"/>
        <v>34</v>
      </c>
      <c r="B38" s="138" t="s">
        <v>312</v>
      </c>
      <c r="C38" s="134" t="s">
        <v>313</v>
      </c>
      <c r="D38" s="134"/>
      <c r="E38" s="134"/>
      <c r="F38" s="134" t="s">
        <v>255</v>
      </c>
      <c r="G38" s="134" t="s">
        <v>226</v>
      </c>
      <c r="H38" s="134" t="s">
        <v>30</v>
      </c>
      <c r="I38" s="134">
        <v>1000</v>
      </c>
      <c r="J38" s="2"/>
      <c r="K38" s="2"/>
      <c r="L38" s="2"/>
      <c r="M38" s="2" t="s">
        <v>31</v>
      </c>
      <c r="N38" s="2"/>
      <c r="O38" s="2"/>
      <c r="P38" s="2" t="s">
        <v>31</v>
      </c>
      <c r="Q38" s="2"/>
      <c r="R38" s="2"/>
      <c r="S38" s="2" t="s">
        <v>31</v>
      </c>
      <c r="T38" s="2" t="s">
        <v>31</v>
      </c>
      <c r="U38" s="2"/>
      <c r="V38" s="2" t="s">
        <v>31</v>
      </c>
      <c r="W38" s="2"/>
      <c r="X38" s="2"/>
      <c r="Y38" s="2" t="s">
        <v>31</v>
      </c>
      <c r="Z38" s="2"/>
      <c r="AA38" s="2"/>
      <c r="AB38" s="2"/>
      <c r="AC38" s="2"/>
      <c r="AD38" s="2"/>
      <c r="AE38" s="2"/>
      <c r="AF38" s="2"/>
      <c r="AG38" s="2"/>
      <c r="AH38" s="2" t="s">
        <v>31</v>
      </c>
      <c r="AI38" s="2"/>
      <c r="AJ38" s="2"/>
      <c r="AK38" s="2" t="s">
        <v>31</v>
      </c>
      <c r="AL38" s="2"/>
      <c r="AM38" s="2"/>
      <c r="AN38" s="14" t="s">
        <v>31</v>
      </c>
      <c r="AO38" s="5"/>
      <c r="AP38" s="5"/>
      <c r="AQ38" s="5" t="s">
        <v>31</v>
      </c>
      <c r="AR38" s="5" t="s">
        <v>31</v>
      </c>
      <c r="AS38" s="5"/>
      <c r="AT38" s="2"/>
      <c r="AU38" s="5"/>
      <c r="AV38" s="5"/>
      <c r="AW38" s="2" t="s">
        <v>31</v>
      </c>
      <c r="AX38" s="2" t="s">
        <v>31</v>
      </c>
      <c r="AY38" s="5"/>
      <c r="AZ38" s="2"/>
      <c r="BA38" s="5"/>
      <c r="BB38" s="5"/>
      <c r="BC38" s="2"/>
      <c r="BD38" s="5"/>
      <c r="BE38" s="5"/>
      <c r="BF38" s="14" t="s">
        <v>31</v>
      </c>
      <c r="BG38" s="5"/>
      <c r="BH38" s="5"/>
      <c r="BI38" s="5"/>
      <c r="BJ38" s="5"/>
      <c r="BK38" s="5"/>
      <c r="BL38" s="43" t="s">
        <v>31</v>
      </c>
      <c r="BM38" s="5"/>
      <c r="BN38" s="5"/>
      <c r="BO38" s="5"/>
      <c r="BP38" s="5"/>
      <c r="BQ38" s="5"/>
      <c r="BR38" s="2" t="s">
        <v>31</v>
      </c>
      <c r="BS38" s="5"/>
      <c r="BT38" s="5"/>
      <c r="BU38" s="5"/>
      <c r="BV38" s="5"/>
      <c r="BW38" s="5"/>
      <c r="BX38" s="14" t="s">
        <v>31</v>
      </c>
      <c r="BY38" s="5"/>
      <c r="BZ38" s="5"/>
      <c r="CA38" s="5"/>
      <c r="CB38" s="5"/>
      <c r="CC38" s="5"/>
      <c r="CD38" s="135">
        <f t="shared" si="6"/>
        <v>17</v>
      </c>
      <c r="CE38" s="28" t="s">
        <v>823</v>
      </c>
      <c r="CF38" s="28" t="s">
        <v>824</v>
      </c>
      <c r="CG38" s="20" t="s">
        <v>1072</v>
      </c>
      <c r="CH38" s="27" t="str">
        <f t="shared" si="7"/>
        <v>4</v>
      </c>
    </row>
    <row r="39" spans="1:86" ht="50.45" customHeight="1" x14ac:dyDescent="0.25">
      <c r="A39" s="63">
        <f t="shared" si="5"/>
        <v>35</v>
      </c>
      <c r="B39" s="138" t="s">
        <v>283</v>
      </c>
      <c r="C39" s="134" t="s">
        <v>284</v>
      </c>
      <c r="D39" s="134">
        <v>9443974145</v>
      </c>
      <c r="E39" s="134" t="s">
        <v>285</v>
      </c>
      <c r="F39" s="134"/>
      <c r="G39" s="134" t="s">
        <v>226</v>
      </c>
      <c r="H39" s="134" t="s">
        <v>30</v>
      </c>
      <c r="I39" s="134">
        <v>1200</v>
      </c>
      <c r="J39" s="2"/>
      <c r="K39" s="2"/>
      <c r="L39" s="2"/>
      <c r="M39" s="2" t="s">
        <v>31</v>
      </c>
      <c r="N39" s="2"/>
      <c r="O39" s="2"/>
      <c r="P39" s="2"/>
      <c r="Q39" s="2"/>
      <c r="R39" s="2"/>
      <c r="S39" s="2" t="s">
        <v>31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31</v>
      </c>
      <c r="AI39" s="2"/>
      <c r="AJ39" s="2"/>
      <c r="AK39" s="2" t="s">
        <v>31</v>
      </c>
      <c r="AL39" s="2"/>
      <c r="AM39" s="2"/>
      <c r="AN39" s="5"/>
      <c r="AO39" s="5"/>
      <c r="AP39" s="5"/>
      <c r="AQ39" s="5"/>
      <c r="AR39" s="5"/>
      <c r="AS39" s="5"/>
      <c r="AT39" s="2" t="s">
        <v>31</v>
      </c>
      <c r="AU39" s="5"/>
      <c r="AV39" s="5"/>
      <c r="AW39" s="2" t="s">
        <v>31</v>
      </c>
      <c r="AX39" s="5"/>
      <c r="AY39" s="5"/>
      <c r="AZ39" s="2"/>
      <c r="BA39" s="5"/>
      <c r="BB39" s="5"/>
      <c r="BC39" s="2" t="s">
        <v>31</v>
      </c>
      <c r="BD39" s="5"/>
      <c r="BE39" s="5"/>
      <c r="BF39" s="14"/>
      <c r="BG39" s="5"/>
      <c r="BH39" s="5"/>
      <c r="BI39" s="14" t="s">
        <v>31</v>
      </c>
      <c r="BJ39" s="5"/>
      <c r="BK39" s="5"/>
      <c r="BL39" s="43"/>
      <c r="BM39" s="5"/>
      <c r="BN39" s="5"/>
      <c r="BO39" s="43" t="s">
        <v>31</v>
      </c>
      <c r="BP39" s="5"/>
      <c r="BQ39" s="5"/>
      <c r="BR39" s="5"/>
      <c r="BS39" s="5"/>
      <c r="BT39" s="5"/>
      <c r="BU39" s="2" t="s">
        <v>31</v>
      </c>
      <c r="BV39" s="5"/>
      <c r="BW39" s="5"/>
      <c r="BX39" s="5"/>
      <c r="BY39" s="5"/>
      <c r="BZ39" s="5"/>
      <c r="CA39" s="5"/>
      <c r="CB39" s="5"/>
      <c r="CC39" s="5"/>
      <c r="CD39" s="135">
        <f t="shared" si="6"/>
        <v>10</v>
      </c>
      <c r="CE39" s="28" t="s">
        <v>921</v>
      </c>
      <c r="CF39" s="28" t="s">
        <v>774</v>
      </c>
      <c r="CG39" s="20" t="s">
        <v>1053</v>
      </c>
      <c r="CH39" s="27" t="str">
        <f t="shared" si="7"/>
        <v>4</v>
      </c>
    </row>
    <row r="40" spans="1:86" ht="50.45" customHeight="1" x14ac:dyDescent="0.25">
      <c r="A40" s="63">
        <f t="shared" si="5"/>
        <v>36</v>
      </c>
      <c r="B40" s="138" t="s">
        <v>513</v>
      </c>
      <c r="C40" s="134" t="s">
        <v>514</v>
      </c>
      <c r="D40" s="134">
        <v>8489400376</v>
      </c>
      <c r="E40" s="134" t="s">
        <v>515</v>
      </c>
      <c r="F40" s="134"/>
      <c r="G40" s="134" t="s">
        <v>226</v>
      </c>
      <c r="H40" s="134" t="s">
        <v>30</v>
      </c>
      <c r="I40" s="134">
        <v>800</v>
      </c>
      <c r="J40" s="2"/>
      <c r="K40" s="2"/>
      <c r="L40" s="2"/>
      <c r="M40" s="2" t="s">
        <v>31</v>
      </c>
      <c r="N40" s="2"/>
      <c r="O40" s="2"/>
      <c r="P40" s="2" t="s">
        <v>31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31</v>
      </c>
      <c r="AL40" s="2" t="s">
        <v>31</v>
      </c>
      <c r="AM40" s="2"/>
      <c r="AN40" s="14" t="s">
        <v>31</v>
      </c>
      <c r="AO40" s="14" t="s">
        <v>31</v>
      </c>
      <c r="AP40" s="5"/>
      <c r="AQ40" s="5" t="s">
        <v>31</v>
      </c>
      <c r="AR40" s="5"/>
      <c r="AS40" s="5"/>
      <c r="AT40" s="2" t="s">
        <v>31</v>
      </c>
      <c r="AU40" s="5"/>
      <c r="AV40" s="5"/>
      <c r="AW40" s="2" t="s">
        <v>31</v>
      </c>
      <c r="AX40" s="5"/>
      <c r="AY40" s="5"/>
      <c r="AZ40" s="14" t="s">
        <v>31</v>
      </c>
      <c r="BA40" s="14" t="s">
        <v>31</v>
      </c>
      <c r="BB40" s="5"/>
      <c r="BC40" s="2" t="s">
        <v>31</v>
      </c>
      <c r="BD40" s="2" t="s">
        <v>31</v>
      </c>
      <c r="BE40" s="2" t="s">
        <v>31</v>
      </c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 t="s">
        <v>31</v>
      </c>
      <c r="BS40" s="2" t="s">
        <v>31</v>
      </c>
      <c r="BT40" s="2"/>
      <c r="BU40" s="2"/>
      <c r="BV40" s="2"/>
      <c r="BW40" s="2"/>
      <c r="BX40" s="2" t="s">
        <v>31</v>
      </c>
      <c r="BY40" s="2" t="s">
        <v>31</v>
      </c>
      <c r="BZ40" s="2"/>
      <c r="CA40" s="2"/>
      <c r="CB40" s="2"/>
      <c r="CC40" s="2"/>
      <c r="CD40" s="135">
        <f t="shared" si="6"/>
        <v>18</v>
      </c>
      <c r="CE40" s="28" t="s">
        <v>884</v>
      </c>
      <c r="CF40" s="28" t="s">
        <v>827</v>
      </c>
      <c r="CG40" s="20" t="s">
        <v>1079</v>
      </c>
      <c r="CH40" s="27" t="str">
        <f t="shared" si="7"/>
        <v>4</v>
      </c>
    </row>
    <row r="41" spans="1:86" ht="50.45" customHeight="1" x14ac:dyDescent="0.25">
      <c r="A41" s="63">
        <f t="shared" si="5"/>
        <v>37</v>
      </c>
      <c r="B41" s="138" t="s">
        <v>808</v>
      </c>
      <c r="C41" s="134" t="s">
        <v>809</v>
      </c>
      <c r="D41" s="38"/>
      <c r="E41" s="134">
        <v>2220</v>
      </c>
      <c r="F41" s="134"/>
      <c r="G41" s="134" t="s">
        <v>226</v>
      </c>
      <c r="H41" s="134" t="s">
        <v>30</v>
      </c>
      <c r="I41" s="134">
        <v>2200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 t="s">
        <v>31</v>
      </c>
      <c r="AL41" s="2"/>
      <c r="AM41" s="2"/>
      <c r="AN41" s="5"/>
      <c r="AO41" s="5"/>
      <c r="AP41" s="5"/>
      <c r="AQ41" s="5"/>
      <c r="AR41" s="5"/>
      <c r="AS41" s="5"/>
      <c r="AT41" s="2" t="s">
        <v>31</v>
      </c>
      <c r="AU41" s="2" t="s">
        <v>31</v>
      </c>
      <c r="AV41" s="5"/>
      <c r="AW41" s="2" t="s">
        <v>31</v>
      </c>
      <c r="AX41" s="5"/>
      <c r="AY41" s="5"/>
      <c r="AZ41" s="5"/>
      <c r="BA41" s="5"/>
      <c r="BB41" s="5"/>
      <c r="BC41" s="5"/>
      <c r="BD41" s="5"/>
      <c r="BE41" s="5"/>
      <c r="BF41" s="2" t="s">
        <v>31</v>
      </c>
      <c r="BG41" s="5"/>
      <c r="BH41" s="5"/>
      <c r="BI41" s="5"/>
      <c r="BJ41" s="2" t="s">
        <v>31</v>
      </c>
      <c r="BK41" s="5"/>
      <c r="BL41" s="43" t="s">
        <v>31</v>
      </c>
      <c r="BM41" s="5"/>
      <c r="BN41" s="5"/>
      <c r="BO41" s="5"/>
      <c r="BP41" s="5"/>
      <c r="BQ41" s="5"/>
      <c r="BS41" s="5"/>
      <c r="BT41" s="5"/>
      <c r="BU41" s="5"/>
      <c r="BV41" s="2" t="s">
        <v>31</v>
      </c>
      <c r="BW41" s="2" t="s">
        <v>31</v>
      </c>
      <c r="BX41" s="5"/>
      <c r="BY41" s="5"/>
      <c r="BZ41" s="5"/>
      <c r="CA41" s="5"/>
      <c r="CB41" s="5"/>
      <c r="CC41" s="5"/>
      <c r="CD41" s="135">
        <f t="shared" si="6"/>
        <v>9</v>
      </c>
      <c r="CE41" s="28" t="s">
        <v>955</v>
      </c>
      <c r="CF41" s="28"/>
      <c r="CG41" s="20" t="s">
        <v>1048</v>
      </c>
      <c r="CH41" s="27" t="str">
        <f t="shared" si="7"/>
        <v>4</v>
      </c>
    </row>
    <row r="42" spans="1:86" ht="50.45" customHeight="1" x14ac:dyDescent="0.25">
      <c r="A42" s="63">
        <f t="shared" si="5"/>
        <v>38</v>
      </c>
      <c r="B42" s="138" t="s">
        <v>463</v>
      </c>
      <c r="C42" s="134" t="s">
        <v>464</v>
      </c>
      <c r="D42" s="134" t="s">
        <v>465</v>
      </c>
      <c r="E42" s="134" t="s">
        <v>466</v>
      </c>
      <c r="F42" s="134"/>
      <c r="G42" s="134" t="s">
        <v>226</v>
      </c>
      <c r="H42" s="134" t="s">
        <v>30</v>
      </c>
      <c r="I42" s="134">
        <v>2500</v>
      </c>
      <c r="J42" s="2"/>
      <c r="K42" s="2"/>
      <c r="L42" s="2"/>
      <c r="M42" s="2"/>
      <c r="N42" s="2"/>
      <c r="O42" s="2"/>
      <c r="P42" s="2"/>
      <c r="Q42" s="2"/>
      <c r="R42" s="2"/>
      <c r="S42" s="2" t="s">
        <v>31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 t="s">
        <v>31</v>
      </c>
      <c r="AL42" s="2" t="s">
        <v>31</v>
      </c>
      <c r="AM42" s="2"/>
      <c r="AN42" s="14" t="s">
        <v>31</v>
      </c>
      <c r="AO42" s="5"/>
      <c r="AP42" s="5"/>
      <c r="AQ42" s="5"/>
      <c r="AR42" s="5"/>
      <c r="AS42" s="5"/>
      <c r="AT42" s="2"/>
      <c r="AU42" s="5"/>
      <c r="AV42" s="5"/>
      <c r="AW42" s="2" t="s">
        <v>31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2" t="s">
        <v>31</v>
      </c>
      <c r="BJ42" s="5"/>
      <c r="BK42" s="5"/>
      <c r="BL42" s="43" t="s">
        <v>31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135">
        <f t="shared" si="6"/>
        <v>7</v>
      </c>
      <c r="CE42" s="28" t="s">
        <v>780</v>
      </c>
      <c r="CF42" s="28" t="s">
        <v>777</v>
      </c>
      <c r="CG42" s="15" t="s">
        <v>967</v>
      </c>
      <c r="CH42" s="27" t="str">
        <f t="shared" si="7"/>
        <v>4</v>
      </c>
    </row>
    <row r="43" spans="1:86" ht="50.45" customHeight="1" x14ac:dyDescent="0.25">
      <c r="A43" s="63">
        <f t="shared" si="5"/>
        <v>39</v>
      </c>
      <c r="B43" s="299" t="s">
        <v>451</v>
      </c>
      <c r="C43" s="134" t="s">
        <v>452</v>
      </c>
      <c r="D43" s="134" t="s">
        <v>453</v>
      </c>
      <c r="E43" s="134" t="s">
        <v>454</v>
      </c>
      <c r="F43" s="134"/>
      <c r="G43" s="134" t="s">
        <v>226</v>
      </c>
      <c r="H43" s="134" t="s">
        <v>30</v>
      </c>
      <c r="I43" s="134">
        <v>400</v>
      </c>
      <c r="J43" s="2"/>
      <c r="K43" s="2"/>
      <c r="L43" s="2"/>
      <c r="M43" s="2" t="s">
        <v>31</v>
      </c>
      <c r="N43" s="2" t="s">
        <v>31</v>
      </c>
      <c r="O43" s="2"/>
      <c r="P43" s="2" t="s">
        <v>31</v>
      </c>
      <c r="Q43" s="2"/>
      <c r="R43" s="2"/>
      <c r="S43" s="2" t="s">
        <v>31</v>
      </c>
      <c r="T43" s="2" t="s">
        <v>31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 t="s">
        <v>31</v>
      </c>
      <c r="AL43" s="2"/>
      <c r="AM43" s="2"/>
      <c r="AN43" s="14" t="s">
        <v>31</v>
      </c>
      <c r="AO43" s="5"/>
      <c r="AP43" s="5"/>
      <c r="AQ43" s="5"/>
      <c r="AR43" s="5"/>
      <c r="AS43" s="5"/>
      <c r="AT43" s="2" t="s">
        <v>31</v>
      </c>
      <c r="AU43" s="5"/>
      <c r="AV43" s="5"/>
      <c r="AW43" s="2" t="s">
        <v>31</v>
      </c>
      <c r="AX43" s="5"/>
      <c r="AY43" s="5"/>
      <c r="AZ43" s="14" t="s">
        <v>31</v>
      </c>
      <c r="BA43" s="5"/>
      <c r="BB43" s="5"/>
      <c r="BC43" s="14" t="s">
        <v>31</v>
      </c>
      <c r="BD43" s="14" t="s">
        <v>31</v>
      </c>
      <c r="BE43" s="5"/>
      <c r="BF43" s="5"/>
      <c r="BG43" s="5"/>
      <c r="BH43" s="5"/>
      <c r="BI43" s="5"/>
      <c r="BJ43" s="5"/>
      <c r="BK43" s="5"/>
      <c r="BL43" s="43" t="s">
        <v>31</v>
      </c>
      <c r="BM43" s="5"/>
      <c r="BN43" s="5"/>
      <c r="BO43" s="5"/>
      <c r="BP43" s="5"/>
      <c r="BQ43" s="5"/>
      <c r="BR43" s="5"/>
      <c r="BS43" s="5"/>
      <c r="BT43" s="5"/>
      <c r="BU43" s="2" t="s">
        <v>31</v>
      </c>
      <c r="BV43" s="2" t="s">
        <v>31</v>
      </c>
      <c r="BW43" s="5"/>
      <c r="BX43" s="14" t="s">
        <v>31</v>
      </c>
      <c r="BY43" s="5"/>
      <c r="BZ43" s="5"/>
      <c r="CA43" s="5"/>
      <c r="CB43" s="5"/>
      <c r="CC43" s="5"/>
      <c r="CD43" s="135">
        <f t="shared" si="6"/>
        <v>16</v>
      </c>
      <c r="CE43" s="28" t="s">
        <v>939</v>
      </c>
      <c r="CF43" s="28" t="s">
        <v>811</v>
      </c>
      <c r="CG43" s="20" t="s">
        <v>1081</v>
      </c>
      <c r="CH43" s="27" t="str">
        <f t="shared" si="7"/>
        <v>4</v>
      </c>
    </row>
    <row r="44" spans="1:86" ht="50.45" customHeight="1" x14ac:dyDescent="0.25">
      <c r="A44" s="63">
        <f t="shared" si="5"/>
        <v>40</v>
      </c>
      <c r="B44" s="138" t="s">
        <v>361</v>
      </c>
      <c r="C44" s="134" t="s">
        <v>362</v>
      </c>
      <c r="D44" s="134" t="s">
        <v>363</v>
      </c>
      <c r="E44" s="134" t="s">
        <v>364</v>
      </c>
      <c r="F44" s="134"/>
      <c r="G44" s="134" t="s">
        <v>226</v>
      </c>
      <c r="H44" s="134" t="s">
        <v>30</v>
      </c>
      <c r="I44" s="134">
        <v>1300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">
        <v>31</v>
      </c>
      <c r="AC44" s="2"/>
      <c r="AD44" s="2"/>
      <c r="AE44" s="2"/>
      <c r="AF44" s="2"/>
      <c r="AG44" s="2"/>
      <c r="AH44" s="2" t="s">
        <v>31</v>
      </c>
      <c r="AI44" s="2"/>
      <c r="AJ44" s="2"/>
      <c r="AK44" s="2" t="s">
        <v>31</v>
      </c>
      <c r="AL44" s="2" t="s">
        <v>31</v>
      </c>
      <c r="AM44" s="2"/>
      <c r="AN44" s="5"/>
      <c r="AO44" s="5"/>
      <c r="AP44" s="5"/>
      <c r="AQ44" s="5" t="s">
        <v>31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43" t="s">
        <v>31</v>
      </c>
      <c r="BM44" s="43" t="s">
        <v>31</v>
      </c>
      <c r="BN44" s="5"/>
      <c r="BO44" s="5"/>
      <c r="BP44" s="5"/>
      <c r="BQ44" s="5"/>
      <c r="BR44" s="14" t="s">
        <v>31</v>
      </c>
      <c r="BS44" s="5"/>
      <c r="BT44" s="5"/>
      <c r="BU44" s="5"/>
      <c r="BV44" s="2" t="s">
        <v>31</v>
      </c>
      <c r="BW44" s="5"/>
      <c r="BX44" s="14" t="s">
        <v>31</v>
      </c>
      <c r="BY44" s="5"/>
      <c r="BZ44" s="5"/>
      <c r="CA44" s="5"/>
      <c r="CB44" s="5"/>
      <c r="CC44" s="5"/>
      <c r="CD44" s="135">
        <f t="shared" si="6"/>
        <v>10</v>
      </c>
      <c r="CE44" s="28" t="s">
        <v>775</v>
      </c>
      <c r="CF44" s="28" t="s">
        <v>677</v>
      </c>
      <c r="CG44" s="20" t="s">
        <v>1071</v>
      </c>
      <c r="CH44" s="27" t="str">
        <f t="shared" si="7"/>
        <v>4</v>
      </c>
    </row>
    <row r="45" spans="1:86" ht="50.45" customHeight="1" x14ac:dyDescent="0.25">
      <c r="A45" s="63">
        <f t="shared" si="5"/>
        <v>41</v>
      </c>
      <c r="B45" s="138" t="s">
        <v>447</v>
      </c>
      <c r="C45" s="134" t="s">
        <v>448</v>
      </c>
      <c r="D45" s="134" t="s">
        <v>449</v>
      </c>
      <c r="E45" s="134" t="s">
        <v>450</v>
      </c>
      <c r="F45" s="134"/>
      <c r="G45" s="134" t="s">
        <v>226</v>
      </c>
      <c r="H45" s="134" t="s">
        <v>30</v>
      </c>
      <c r="I45" s="134">
        <v>520</v>
      </c>
      <c r="J45" s="2"/>
      <c r="K45" s="2"/>
      <c r="L45" s="2"/>
      <c r="M45" s="2"/>
      <c r="N45" s="2"/>
      <c r="O45" s="2"/>
      <c r="P45" s="2"/>
      <c r="Q45" s="2"/>
      <c r="R45" s="2"/>
      <c r="S45" s="2" t="s">
        <v>31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5"/>
      <c r="AO45" s="5"/>
      <c r="AP45" s="5"/>
      <c r="AQ45" s="5" t="s">
        <v>31</v>
      </c>
      <c r="AR45" s="5"/>
      <c r="AS45" s="5"/>
      <c r="AT45" s="5"/>
      <c r="AU45" s="5"/>
      <c r="AV45" s="5"/>
      <c r="AW45" s="5"/>
      <c r="AX45" s="5"/>
      <c r="AY45" s="5"/>
      <c r="AZ45" s="14" t="s">
        <v>31</v>
      </c>
      <c r="BA45" s="14" t="s">
        <v>31</v>
      </c>
      <c r="BB45" s="14" t="s">
        <v>31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2" t="s">
        <v>31</v>
      </c>
      <c r="BV45" s="5"/>
      <c r="BW45" s="5"/>
      <c r="BX45" s="5"/>
      <c r="BY45" s="5"/>
      <c r="BZ45" s="5"/>
      <c r="CA45" s="5"/>
      <c r="CB45" s="5"/>
      <c r="CC45" s="5"/>
      <c r="CD45" s="135">
        <f t="shared" si="6"/>
        <v>6</v>
      </c>
      <c r="CE45" s="28" t="s">
        <v>930</v>
      </c>
      <c r="CF45" s="28"/>
      <c r="CG45" s="20" t="s">
        <v>1049</v>
      </c>
      <c r="CH45" s="27" t="str">
        <f t="shared" si="7"/>
        <v>4</v>
      </c>
    </row>
    <row r="46" spans="1:86" ht="50.45" customHeight="1" x14ac:dyDescent="0.25">
      <c r="A46" s="63">
        <f t="shared" si="5"/>
        <v>42</v>
      </c>
      <c r="B46" s="299" t="s">
        <v>706</v>
      </c>
      <c r="C46" s="134" t="s">
        <v>707</v>
      </c>
      <c r="D46" s="38"/>
      <c r="E46" s="134">
        <v>950</v>
      </c>
      <c r="F46" s="134"/>
      <c r="G46" s="134" t="s">
        <v>226</v>
      </c>
      <c r="H46" s="134" t="s">
        <v>30</v>
      </c>
      <c r="I46" s="134">
        <v>950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 t="s">
        <v>31</v>
      </c>
      <c r="AF46" s="2"/>
      <c r="AG46" s="2"/>
      <c r="AH46" s="2"/>
      <c r="AI46" s="2"/>
      <c r="AJ46" s="2"/>
      <c r="AK46" s="2" t="s">
        <v>31</v>
      </c>
      <c r="AL46" s="2"/>
      <c r="AM46" s="2"/>
      <c r="AN46" s="14" t="s">
        <v>31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2" t="s">
        <v>31</v>
      </c>
      <c r="BJ46" s="5"/>
      <c r="BK46" s="5"/>
      <c r="BL46" s="5"/>
      <c r="BM46" s="5"/>
      <c r="BN46" s="5"/>
      <c r="BO46" s="43" t="s">
        <v>31</v>
      </c>
      <c r="BP46" s="5"/>
      <c r="BQ46" s="5"/>
      <c r="BR46" s="5"/>
      <c r="BS46" s="5"/>
      <c r="BT46" s="5"/>
      <c r="BU46" s="14" t="s">
        <v>31</v>
      </c>
      <c r="BV46" s="5"/>
      <c r="BW46" s="5"/>
      <c r="BX46" s="5"/>
      <c r="BY46" s="5"/>
      <c r="BZ46" s="5"/>
      <c r="CA46" s="5"/>
      <c r="CB46" s="5"/>
      <c r="CC46" s="5"/>
      <c r="CD46" s="135">
        <f t="shared" si="6"/>
        <v>6</v>
      </c>
      <c r="CE46" s="28" t="s">
        <v>805</v>
      </c>
      <c r="CF46" s="28" t="s">
        <v>705</v>
      </c>
      <c r="CG46" s="20" t="s">
        <v>1056</v>
      </c>
      <c r="CH46" s="27" t="str">
        <f t="shared" si="7"/>
        <v>4</v>
      </c>
    </row>
    <row r="47" spans="1:86" ht="50.45" customHeight="1" x14ac:dyDescent="0.25">
      <c r="A47" s="63">
        <f t="shared" si="5"/>
        <v>43</v>
      </c>
      <c r="B47" s="138" t="s">
        <v>431</v>
      </c>
      <c r="C47" s="134" t="s">
        <v>432</v>
      </c>
      <c r="D47" s="134" t="s">
        <v>433</v>
      </c>
      <c r="E47" s="134" t="s">
        <v>266</v>
      </c>
      <c r="F47" s="134"/>
      <c r="G47" s="134" t="s">
        <v>226</v>
      </c>
      <c r="H47" s="134" t="s">
        <v>30</v>
      </c>
      <c r="I47" s="134">
        <v>1000</v>
      </c>
      <c r="J47" s="2"/>
      <c r="K47" s="2"/>
      <c r="L47" s="2"/>
      <c r="M47" s="2"/>
      <c r="N47" s="2"/>
      <c r="O47" s="2"/>
      <c r="P47" s="2"/>
      <c r="Q47" s="2"/>
      <c r="R47" s="2"/>
      <c r="S47" s="223" t="s">
        <v>31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s">
        <v>31</v>
      </c>
      <c r="AI47" s="2"/>
      <c r="AJ47" s="2"/>
      <c r="AK47" s="2"/>
      <c r="AL47" s="2"/>
      <c r="AM47" s="2"/>
      <c r="AN47" s="14" t="s">
        <v>31</v>
      </c>
      <c r="AO47" s="5"/>
      <c r="AP47" s="5"/>
      <c r="AQ47" s="2" t="s">
        <v>31</v>
      </c>
      <c r="AR47" s="2"/>
      <c r="AS47" s="5"/>
      <c r="AT47" s="2" t="s">
        <v>31</v>
      </c>
      <c r="AU47" s="5"/>
      <c r="AV47" s="5"/>
      <c r="AW47" s="2" t="s">
        <v>31</v>
      </c>
      <c r="AX47" s="2" t="s">
        <v>31</v>
      </c>
      <c r="AY47" s="5"/>
      <c r="AZ47" s="14" t="s">
        <v>31</v>
      </c>
      <c r="BA47" s="14" t="s">
        <v>31</v>
      </c>
      <c r="BB47" s="5"/>
      <c r="BC47" s="14" t="s">
        <v>31</v>
      </c>
      <c r="BD47" s="14" t="s">
        <v>31</v>
      </c>
      <c r="BE47" s="14" t="s">
        <v>31</v>
      </c>
      <c r="BF47" s="5"/>
      <c r="BG47" s="5"/>
      <c r="BH47" s="5"/>
      <c r="BI47" s="5"/>
      <c r="BJ47" s="5"/>
      <c r="BK47" s="5"/>
      <c r="BL47" s="43" t="s">
        <v>31</v>
      </c>
      <c r="BM47" s="5"/>
      <c r="BN47" s="5"/>
      <c r="BO47" s="43" t="s">
        <v>31</v>
      </c>
      <c r="BP47" s="5"/>
      <c r="BQ47" s="5"/>
      <c r="BR47" s="5"/>
      <c r="BS47" s="5"/>
      <c r="BT47" s="5"/>
      <c r="BU47" s="14" t="s">
        <v>31</v>
      </c>
      <c r="BV47" s="5"/>
      <c r="BW47" s="5"/>
      <c r="BX47" s="5"/>
      <c r="BY47" s="5"/>
      <c r="BZ47" s="5"/>
      <c r="CA47" s="5"/>
      <c r="CB47" s="5"/>
      <c r="CC47" s="5"/>
      <c r="CD47" s="135">
        <f t="shared" si="6"/>
        <v>15</v>
      </c>
      <c r="CE47" s="28" t="s">
        <v>882</v>
      </c>
      <c r="CF47" s="28" t="s">
        <v>839</v>
      </c>
      <c r="CG47" s="15" t="s">
        <v>1063</v>
      </c>
      <c r="CH47" s="27" t="str">
        <f t="shared" si="7"/>
        <v>4</v>
      </c>
    </row>
    <row r="48" spans="1:86" ht="50.45" customHeight="1" x14ac:dyDescent="0.25">
      <c r="A48" s="63">
        <f t="shared" si="5"/>
        <v>44</v>
      </c>
      <c r="B48" s="138" t="s">
        <v>427</v>
      </c>
      <c r="C48" s="134" t="s">
        <v>428</v>
      </c>
      <c r="D48" s="134">
        <v>9488590728</v>
      </c>
      <c r="E48" s="134" t="s">
        <v>429</v>
      </c>
      <c r="F48" s="134" t="s">
        <v>430</v>
      </c>
      <c r="G48" s="134" t="s">
        <v>226</v>
      </c>
      <c r="H48" s="134" t="s">
        <v>30</v>
      </c>
      <c r="I48" s="134">
        <v>800</v>
      </c>
      <c r="J48" s="2"/>
      <c r="K48" s="2"/>
      <c r="L48" s="2"/>
      <c r="M48" s="2" t="s">
        <v>31</v>
      </c>
      <c r="N48" s="2" t="s">
        <v>31</v>
      </c>
      <c r="O48" s="2"/>
      <c r="P48" s="2" t="s">
        <v>31</v>
      </c>
      <c r="Q48" s="2"/>
      <c r="R48" s="2"/>
      <c r="S48" s="38"/>
      <c r="T48" s="2"/>
      <c r="U48" s="2"/>
      <c r="V48" s="2" t="s">
        <v>31</v>
      </c>
      <c r="W48" s="2" t="s">
        <v>31</v>
      </c>
      <c r="X48" s="2"/>
      <c r="Y48" s="2" t="s">
        <v>31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 t="s">
        <v>31</v>
      </c>
      <c r="AL48" s="2"/>
      <c r="AM48" s="2"/>
      <c r="AN48" s="14" t="s">
        <v>31</v>
      </c>
      <c r="AO48" s="14" t="s">
        <v>31</v>
      </c>
      <c r="AP48" s="5"/>
      <c r="AQ48" s="2" t="s">
        <v>31</v>
      </c>
      <c r="AR48" s="2"/>
      <c r="AS48" s="5"/>
      <c r="AT48" s="5"/>
      <c r="AU48" s="5"/>
      <c r="AV48" s="5"/>
      <c r="AW48" s="2" t="s">
        <v>31</v>
      </c>
      <c r="AX48" s="5"/>
      <c r="AY48" s="5"/>
      <c r="AZ48" s="14" t="s">
        <v>31</v>
      </c>
      <c r="BA48" s="5"/>
      <c r="BB48" s="5"/>
      <c r="BC48" s="14" t="s">
        <v>31</v>
      </c>
      <c r="BD48" s="14" t="s">
        <v>31</v>
      </c>
      <c r="BE48" s="5"/>
      <c r="BF48" s="2" t="s">
        <v>31</v>
      </c>
      <c r="BG48" s="5"/>
      <c r="BH48" s="5"/>
      <c r="BI48" s="2" t="s">
        <v>31</v>
      </c>
      <c r="BJ48" s="5"/>
      <c r="BK48" s="5"/>
      <c r="BL48" s="5"/>
      <c r="BM48" s="5"/>
      <c r="BN48" s="5"/>
      <c r="BO48" s="43" t="s">
        <v>31</v>
      </c>
      <c r="BP48" s="5"/>
      <c r="BQ48" s="5"/>
      <c r="BR48" s="14" t="s">
        <v>31</v>
      </c>
      <c r="BS48" s="5"/>
      <c r="BT48" s="5"/>
      <c r="BU48" s="14" t="s">
        <v>31</v>
      </c>
      <c r="BV48" s="5"/>
      <c r="BW48" s="5"/>
      <c r="BX48" s="5"/>
      <c r="BY48" s="5"/>
      <c r="BZ48" s="5"/>
      <c r="CA48" s="5"/>
      <c r="CB48" s="5"/>
      <c r="CC48" s="5"/>
      <c r="CD48" s="135">
        <f t="shared" si="6"/>
        <v>19</v>
      </c>
      <c r="CE48" s="28" t="s">
        <v>920</v>
      </c>
      <c r="CF48" s="28" t="s">
        <v>821</v>
      </c>
      <c r="CG48" s="20" t="s">
        <v>1055</v>
      </c>
      <c r="CH48" s="27" t="str">
        <f t="shared" ref="CH48:CH55" si="8">IF(CD48&lt;=0,"0",IF(CD48=1,"1",IF(CD48=2,"2",IF(CD48=3,"3",IF(CD48&gt;=4,"4")))))</f>
        <v>4</v>
      </c>
    </row>
    <row r="49" spans="1:86" ht="50.45" customHeight="1" x14ac:dyDescent="0.25">
      <c r="A49" s="63">
        <f t="shared" si="5"/>
        <v>45</v>
      </c>
      <c r="B49" s="138" t="s">
        <v>314</v>
      </c>
      <c r="C49" s="134" t="s">
        <v>315</v>
      </c>
      <c r="D49" s="134"/>
      <c r="E49" s="134"/>
      <c r="F49" s="134" t="s">
        <v>316</v>
      </c>
      <c r="G49" s="134" t="s">
        <v>226</v>
      </c>
      <c r="H49" s="134" t="s">
        <v>30</v>
      </c>
      <c r="I49" s="134">
        <v>671</v>
      </c>
      <c r="J49" s="2"/>
      <c r="K49" s="2"/>
      <c r="L49" s="2"/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 t="s">
        <v>31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s">
        <v>31</v>
      </c>
      <c r="AI49" s="2"/>
      <c r="AJ49" s="2"/>
      <c r="AK49" s="2"/>
      <c r="AL49" s="2"/>
      <c r="AM49" s="2"/>
      <c r="AN49" s="14" t="s">
        <v>31</v>
      </c>
      <c r="AO49" s="5"/>
      <c r="AP49" s="5"/>
      <c r="AQ49" s="2" t="s">
        <v>31</v>
      </c>
      <c r="AR49" s="2"/>
      <c r="AS49" s="5"/>
      <c r="AT49" s="2"/>
      <c r="AU49" s="5"/>
      <c r="AV49" s="5"/>
      <c r="AW49" s="2" t="s">
        <v>31</v>
      </c>
      <c r="AX49" s="2" t="s">
        <v>31</v>
      </c>
      <c r="AY49" s="5"/>
      <c r="AZ49" s="2"/>
      <c r="BA49" s="5"/>
      <c r="BB49" s="5"/>
      <c r="BC49" s="2"/>
      <c r="BD49" s="5"/>
      <c r="BE49" s="5"/>
      <c r="BF49" s="14"/>
      <c r="BG49" s="5"/>
      <c r="BH49" s="5"/>
      <c r="BI49" s="5"/>
      <c r="BJ49" s="5"/>
      <c r="BK49" s="5"/>
      <c r="BL49" s="43"/>
      <c r="BM49" s="5"/>
      <c r="BN49" s="5"/>
      <c r="BO49" s="5"/>
      <c r="BP49" s="5"/>
      <c r="BQ49" s="5"/>
      <c r="BR49" s="14" t="s">
        <v>31</v>
      </c>
      <c r="BS49" s="5"/>
      <c r="BT49" s="5"/>
      <c r="BU49" s="5"/>
      <c r="BV49" s="5"/>
      <c r="BW49" s="5"/>
      <c r="BX49" s="14" t="s">
        <v>31</v>
      </c>
      <c r="BY49" s="5"/>
      <c r="BZ49" s="5"/>
      <c r="CA49" s="5"/>
      <c r="CB49" s="5"/>
      <c r="CC49" s="5"/>
      <c r="CD49" s="135">
        <f t="shared" si="6"/>
        <v>9</v>
      </c>
      <c r="CE49" s="28" t="s">
        <v>828</v>
      </c>
      <c r="CF49" s="28" t="s">
        <v>771</v>
      </c>
      <c r="CG49" s="20" t="s">
        <v>1074</v>
      </c>
      <c r="CH49" s="27" t="str">
        <f t="shared" si="8"/>
        <v>4</v>
      </c>
    </row>
    <row r="50" spans="1:86" ht="50.45" customHeight="1" x14ac:dyDescent="0.25">
      <c r="A50" s="63">
        <f t="shared" si="5"/>
        <v>46</v>
      </c>
      <c r="B50" s="138" t="s">
        <v>455</v>
      </c>
      <c r="C50" s="134" t="s">
        <v>456</v>
      </c>
      <c r="D50" s="134" t="s">
        <v>457</v>
      </c>
      <c r="E50" s="134" t="s">
        <v>458</v>
      </c>
      <c r="F50" s="134" t="s">
        <v>459</v>
      </c>
      <c r="G50" s="134" t="s">
        <v>226</v>
      </c>
      <c r="H50" s="134" t="s">
        <v>30</v>
      </c>
      <c r="I50" s="134">
        <v>1800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">
        <v>31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">
        <v>31</v>
      </c>
      <c r="AI50" s="2"/>
      <c r="AJ50" s="2"/>
      <c r="AK50" s="2"/>
      <c r="AL50" s="2"/>
      <c r="AM50" s="2"/>
      <c r="AN50" s="14" t="s">
        <v>31</v>
      </c>
      <c r="AO50" s="5"/>
      <c r="AP50" s="5"/>
      <c r="AQ50" s="2" t="s">
        <v>31</v>
      </c>
      <c r="AR50" s="2" t="s">
        <v>31</v>
      </c>
      <c r="AS50" s="5"/>
      <c r="AT50" s="5"/>
      <c r="AU50" s="5"/>
      <c r="AV50" s="5"/>
      <c r="AW50" s="2" t="s">
        <v>31</v>
      </c>
      <c r="AX50" s="2" t="s">
        <v>31</v>
      </c>
      <c r="AY50" s="5"/>
      <c r="AZ50" s="14" t="s">
        <v>31</v>
      </c>
      <c r="BA50" s="5"/>
      <c r="BB50" s="5"/>
      <c r="BC50" s="14" t="s">
        <v>31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135">
        <f t="shared" si="6"/>
        <v>9</v>
      </c>
      <c r="CE50" s="28" t="s">
        <v>870</v>
      </c>
      <c r="CF50" s="28" t="s">
        <v>825</v>
      </c>
      <c r="CG50" s="20" t="s">
        <v>950</v>
      </c>
      <c r="CH50" s="27" t="str">
        <f t="shared" si="8"/>
        <v>4</v>
      </c>
    </row>
    <row r="51" spans="1:86" ht="50.45" customHeight="1" x14ac:dyDescent="0.25">
      <c r="A51" s="63">
        <f t="shared" si="5"/>
        <v>47</v>
      </c>
      <c r="B51" s="138" t="s">
        <v>288</v>
      </c>
      <c r="C51" s="134" t="s">
        <v>289</v>
      </c>
      <c r="D51" s="134" t="s">
        <v>290</v>
      </c>
      <c r="E51" s="134" t="s">
        <v>291</v>
      </c>
      <c r="F51" s="134"/>
      <c r="G51" s="134" t="s">
        <v>226</v>
      </c>
      <c r="H51" s="134" t="s">
        <v>30</v>
      </c>
      <c r="I51" s="134">
        <v>3700</v>
      </c>
      <c r="J51" s="2"/>
      <c r="K51" s="2"/>
      <c r="L51" s="2"/>
      <c r="M51" s="2" t="s">
        <v>31</v>
      </c>
      <c r="N51" s="2"/>
      <c r="O51" s="2"/>
      <c r="P51" s="2"/>
      <c r="Q51" s="2"/>
      <c r="R51" s="2"/>
      <c r="S51" s="2" t="s">
        <v>31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s">
        <v>31</v>
      </c>
      <c r="AI51" s="2"/>
      <c r="AJ51" s="2"/>
      <c r="AK51" s="2"/>
      <c r="AL51" s="2"/>
      <c r="AM51" s="2"/>
      <c r="AN51" s="5"/>
      <c r="AO51" s="5"/>
      <c r="AP51" s="5"/>
      <c r="AQ51" s="2" t="s">
        <v>31</v>
      </c>
      <c r="AR51" s="2"/>
      <c r="AS51" s="5"/>
      <c r="AT51" s="2"/>
      <c r="AU51" s="5"/>
      <c r="AV51" s="5"/>
      <c r="AW51" s="5"/>
      <c r="AX51" s="5"/>
      <c r="AY51" s="5"/>
      <c r="AZ51" s="2"/>
      <c r="BA51" s="5"/>
      <c r="BB51" s="5"/>
      <c r="BC51" s="2"/>
      <c r="BD51" s="5"/>
      <c r="BE51" s="5"/>
      <c r="BF51" s="14"/>
      <c r="BG51" s="5"/>
      <c r="BH51" s="5"/>
      <c r="BI51" s="5"/>
      <c r="BJ51" s="5"/>
      <c r="BK51" s="5"/>
      <c r="BL51" s="43"/>
      <c r="BM51" s="5"/>
      <c r="BN51" s="5"/>
      <c r="BO51" s="5"/>
      <c r="BP51" s="5"/>
      <c r="BQ51" s="5"/>
      <c r="BR51" s="14" t="s">
        <v>31</v>
      </c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135">
        <f t="shared" si="6"/>
        <v>5</v>
      </c>
      <c r="CE51" s="28"/>
      <c r="CF51" s="28" t="s">
        <v>765</v>
      </c>
      <c r="CG51" s="20" t="s">
        <v>1037</v>
      </c>
      <c r="CH51" s="27" t="str">
        <f t="shared" si="8"/>
        <v>4</v>
      </c>
    </row>
    <row r="52" spans="1:86" ht="50.45" customHeight="1" x14ac:dyDescent="0.25">
      <c r="A52" s="63">
        <f t="shared" si="5"/>
        <v>48</v>
      </c>
      <c r="B52" s="138" t="s">
        <v>552</v>
      </c>
      <c r="C52" s="134" t="s">
        <v>553</v>
      </c>
      <c r="D52" s="134"/>
      <c r="E52" s="134"/>
      <c r="F52" s="134"/>
      <c r="G52" s="134" t="s">
        <v>226</v>
      </c>
      <c r="H52" s="134" t="s">
        <v>20</v>
      </c>
      <c r="I52" s="134">
        <v>1000</v>
      </c>
      <c r="J52" s="2"/>
      <c r="K52" s="2"/>
      <c r="L52" s="2"/>
      <c r="M52" s="2" t="s">
        <v>31</v>
      </c>
      <c r="N52" s="2"/>
      <c r="O52" s="2"/>
      <c r="P52" s="2" t="s">
        <v>31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31</v>
      </c>
      <c r="AL52" s="2" t="s">
        <v>31</v>
      </c>
      <c r="AM52" s="2"/>
      <c r="AN52" s="14" t="s">
        <v>31</v>
      </c>
      <c r="AO52" s="14" t="s">
        <v>31</v>
      </c>
      <c r="AP52" s="5"/>
      <c r="AQ52" s="2" t="s">
        <v>31</v>
      </c>
      <c r="AR52" s="2" t="s">
        <v>31</v>
      </c>
      <c r="AS52" s="2" t="s">
        <v>31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43"/>
      <c r="BM52" s="5"/>
      <c r="BN52" s="5"/>
      <c r="BO52" s="43" t="s">
        <v>31</v>
      </c>
      <c r="BP52" s="5"/>
      <c r="BQ52" s="5"/>
      <c r="BR52" s="5"/>
      <c r="BS52" s="5"/>
      <c r="BT52" s="5"/>
      <c r="BU52" s="14" t="s">
        <v>31</v>
      </c>
      <c r="BV52" s="5"/>
      <c r="BW52" s="5"/>
      <c r="BX52" s="5"/>
      <c r="BY52" s="5"/>
      <c r="BZ52" s="5"/>
      <c r="CA52" s="5"/>
      <c r="CB52" s="5"/>
      <c r="CC52" s="5"/>
      <c r="CD52" s="135">
        <f t="shared" si="6"/>
        <v>11</v>
      </c>
      <c r="CE52" s="28" t="s">
        <v>854</v>
      </c>
      <c r="CF52" s="28" t="s">
        <v>794</v>
      </c>
      <c r="CG52" s="20" t="s">
        <v>1044</v>
      </c>
      <c r="CH52" s="27" t="str">
        <f t="shared" si="8"/>
        <v>4</v>
      </c>
    </row>
    <row r="53" spans="1:86" ht="50.45" customHeight="1" x14ac:dyDescent="0.25">
      <c r="A53" s="63">
        <f t="shared" si="5"/>
        <v>49</v>
      </c>
      <c r="B53" s="138" t="s">
        <v>259</v>
      </c>
      <c r="C53" s="134" t="s">
        <v>260</v>
      </c>
      <c r="D53" s="134">
        <v>4312490296</v>
      </c>
      <c r="E53" s="134" t="s">
        <v>261</v>
      </c>
      <c r="F53" s="134"/>
      <c r="G53" s="134" t="s">
        <v>226</v>
      </c>
      <c r="H53" s="134" t="s">
        <v>30</v>
      </c>
      <c r="I53" s="134">
        <v>400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 t="s">
        <v>31</v>
      </c>
      <c r="AC53" s="2"/>
      <c r="AD53" s="2"/>
      <c r="AE53" s="2"/>
      <c r="AF53" s="2"/>
      <c r="AG53" s="2"/>
      <c r="AH53" s="2" t="s">
        <v>31</v>
      </c>
      <c r="AI53" s="2"/>
      <c r="AJ53" s="2"/>
      <c r="AK53" s="2" t="s">
        <v>31</v>
      </c>
      <c r="AL53" s="2"/>
      <c r="AM53" s="2"/>
      <c r="AN53" s="2" t="s">
        <v>31</v>
      </c>
      <c r="AO53" s="5"/>
      <c r="AP53" s="5"/>
      <c r="AQ53" s="2" t="s">
        <v>31</v>
      </c>
      <c r="AR53" s="2" t="s">
        <v>31</v>
      </c>
      <c r="AS53" s="5"/>
      <c r="AT53" s="2" t="s">
        <v>31</v>
      </c>
      <c r="AU53" s="5"/>
      <c r="AV53" s="5"/>
      <c r="AW53" s="2" t="s">
        <v>31</v>
      </c>
      <c r="AX53" s="5"/>
      <c r="AY53" s="5"/>
      <c r="AZ53" s="2" t="s">
        <v>31</v>
      </c>
      <c r="BA53" s="2" t="s">
        <v>31</v>
      </c>
      <c r="BB53" s="5"/>
      <c r="BC53" s="2" t="s">
        <v>31</v>
      </c>
      <c r="BD53" s="5"/>
      <c r="BE53" s="5"/>
      <c r="BF53" s="2"/>
      <c r="BG53" s="5"/>
      <c r="BH53" s="5"/>
      <c r="BI53" s="2"/>
      <c r="BJ53" s="2"/>
      <c r="BK53" s="5"/>
      <c r="BL53" s="16"/>
      <c r="BM53" s="16"/>
      <c r="BN53" s="5"/>
      <c r="BO53" s="2" t="s">
        <v>31</v>
      </c>
      <c r="BP53" s="2"/>
      <c r="BQ53" s="5"/>
      <c r="BR53" s="14"/>
      <c r="BS53" s="5"/>
      <c r="BT53" s="5"/>
      <c r="BU53" s="14" t="s">
        <v>31</v>
      </c>
      <c r="BV53" s="5"/>
      <c r="BW53" s="5"/>
      <c r="BX53" s="2" t="s">
        <v>31</v>
      </c>
      <c r="BY53" s="5"/>
      <c r="BZ53" s="5"/>
      <c r="CA53" s="2"/>
      <c r="CB53" s="5"/>
      <c r="CC53" s="5"/>
      <c r="CD53" s="135">
        <f t="shared" si="6"/>
        <v>14</v>
      </c>
      <c r="CE53" s="28" t="s">
        <v>948</v>
      </c>
      <c r="CF53" s="28" t="s">
        <v>826</v>
      </c>
      <c r="CG53" s="20" t="s">
        <v>1078</v>
      </c>
      <c r="CH53" s="27" t="str">
        <f t="shared" si="8"/>
        <v>4</v>
      </c>
    </row>
    <row r="54" spans="1:86" ht="50.45" customHeight="1" x14ac:dyDescent="0.25">
      <c r="A54" s="63">
        <f t="shared" si="5"/>
        <v>50</v>
      </c>
      <c r="B54" s="138" t="s">
        <v>610</v>
      </c>
      <c r="C54" s="134"/>
      <c r="D54" s="134"/>
      <c r="E54" s="134"/>
      <c r="F54" s="134"/>
      <c r="G54" s="134" t="s">
        <v>226</v>
      </c>
      <c r="H54" s="134"/>
      <c r="I54" s="134"/>
      <c r="J54" s="2"/>
      <c r="K54" s="2"/>
      <c r="L54" s="2"/>
      <c r="M54" s="2"/>
      <c r="N54" s="2"/>
      <c r="O54" s="2"/>
      <c r="P54" s="2"/>
      <c r="Q54" s="2"/>
      <c r="R54" s="2"/>
      <c r="S54" s="2" t="s">
        <v>31</v>
      </c>
      <c r="T54" s="2"/>
      <c r="U54" s="2"/>
      <c r="V54" s="2"/>
      <c r="W54" s="2"/>
      <c r="X54" s="2"/>
      <c r="Y54" s="2" t="s">
        <v>31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135">
        <f t="shared" si="6"/>
        <v>2</v>
      </c>
      <c r="CE54" s="28"/>
      <c r="CF54" s="28"/>
      <c r="CG54" s="20" t="s">
        <v>668</v>
      </c>
      <c r="CH54" s="27" t="str">
        <f t="shared" si="8"/>
        <v>2</v>
      </c>
    </row>
    <row r="55" spans="1:86" ht="50.45" customHeight="1" x14ac:dyDescent="0.25">
      <c r="A55" s="63">
        <f t="shared" si="5"/>
        <v>51</v>
      </c>
      <c r="B55" s="138" t="s">
        <v>253</v>
      </c>
      <c r="C55" s="134" t="s">
        <v>254</v>
      </c>
      <c r="D55" s="134"/>
      <c r="E55" s="134"/>
      <c r="F55" s="134" t="s">
        <v>255</v>
      </c>
      <c r="G55" s="134" t="s">
        <v>226</v>
      </c>
      <c r="H55" s="134" t="s">
        <v>30</v>
      </c>
      <c r="I55" s="134">
        <v>1200</v>
      </c>
      <c r="J55" s="2"/>
      <c r="K55" s="2"/>
      <c r="L55" s="2"/>
      <c r="M55" s="2"/>
      <c r="N55" s="2"/>
      <c r="O55" s="2"/>
      <c r="P55" s="2" t="s">
        <v>31</v>
      </c>
      <c r="Q55" s="2"/>
      <c r="R55" s="2"/>
      <c r="S55" s="2" t="s">
        <v>31</v>
      </c>
      <c r="T55" s="2" t="s">
        <v>31</v>
      </c>
      <c r="U55" s="2"/>
      <c r="V55" s="2"/>
      <c r="W55" s="2"/>
      <c r="X55" s="2"/>
      <c r="Y55" s="2" t="s">
        <v>31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6"/>
      <c r="AO55" s="16"/>
      <c r="AP55" s="16"/>
      <c r="AQ55" s="16"/>
      <c r="AR55" s="16"/>
      <c r="AS55" s="16"/>
      <c r="AT55" s="2" t="s">
        <v>31</v>
      </c>
      <c r="AU55" s="16" t="s">
        <v>31</v>
      </c>
      <c r="AV55" s="16"/>
      <c r="AW55" s="16"/>
      <c r="AX55" s="16"/>
      <c r="AY55" s="16"/>
      <c r="AZ55" s="16" t="s">
        <v>31</v>
      </c>
      <c r="BA55" s="16" t="s">
        <v>31</v>
      </c>
      <c r="BB55" s="16" t="s">
        <v>31</v>
      </c>
      <c r="BC55" s="2"/>
      <c r="BD55" s="16"/>
      <c r="BE55" s="16"/>
      <c r="BF55" s="16"/>
      <c r="BG55" s="16"/>
      <c r="BH55" s="16"/>
      <c r="BI55" s="16" t="s">
        <v>31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 t="s">
        <v>31</v>
      </c>
      <c r="BV55" s="16"/>
      <c r="BW55" s="16"/>
      <c r="BX55" s="16" t="s">
        <v>31</v>
      </c>
      <c r="BY55" s="16"/>
      <c r="BZ55" s="16"/>
      <c r="CA55" s="16"/>
      <c r="CB55" s="16"/>
      <c r="CC55" s="16"/>
      <c r="CD55" s="135">
        <f t="shared" si="6"/>
        <v>12</v>
      </c>
      <c r="CE55" s="28" t="s">
        <v>958</v>
      </c>
      <c r="CF55" s="28" t="s">
        <v>667</v>
      </c>
      <c r="CG55" s="20" t="s">
        <v>1076</v>
      </c>
      <c r="CH55" s="27" t="str">
        <f t="shared" si="8"/>
        <v>4</v>
      </c>
    </row>
    <row r="56" spans="1:86" ht="20.45" customHeight="1" x14ac:dyDescent="0.25">
      <c r="A56" s="151"/>
      <c r="B56" s="152"/>
      <c r="C56" s="153"/>
      <c r="D56" s="153"/>
      <c r="E56" s="153"/>
      <c r="F56" s="153"/>
      <c r="G56" s="153"/>
      <c r="H56" s="153"/>
      <c r="I56" s="153"/>
      <c r="J56" s="164"/>
      <c r="K56" s="163"/>
      <c r="L56" s="163"/>
      <c r="M56" s="163"/>
      <c r="N56" s="163"/>
      <c r="O56" s="163"/>
      <c r="P56" s="149"/>
      <c r="Q56" s="149"/>
      <c r="R56" s="149"/>
      <c r="S56" s="156"/>
      <c r="T56" s="149"/>
      <c r="U56" s="149"/>
      <c r="V56" s="155"/>
      <c r="W56" s="149"/>
      <c r="X56" s="149"/>
      <c r="Y56" s="149"/>
      <c r="Z56" s="149"/>
      <c r="AA56" s="149"/>
      <c r="AB56" s="155"/>
      <c r="AC56" s="149"/>
      <c r="AD56" s="149"/>
      <c r="AE56" s="158"/>
      <c r="AF56" s="158"/>
      <c r="AG56" s="158"/>
      <c r="AH56" s="156"/>
      <c r="AI56" s="158"/>
      <c r="AJ56" s="158"/>
      <c r="AK56" s="156"/>
      <c r="AL56" s="158"/>
      <c r="AM56" s="158"/>
      <c r="AN56" s="156"/>
      <c r="AO56" s="158"/>
      <c r="AP56" s="158"/>
      <c r="AQ56" s="158"/>
      <c r="AR56" s="158"/>
      <c r="AS56" s="158"/>
      <c r="AT56" s="155"/>
      <c r="AU56" s="158"/>
      <c r="AV56" s="158"/>
      <c r="AW56" s="158"/>
      <c r="AX56" s="158"/>
      <c r="AY56" s="158"/>
      <c r="AZ56" s="155"/>
      <c r="BA56" s="158"/>
      <c r="BB56" s="158"/>
      <c r="BC56" s="155"/>
      <c r="BD56" s="158"/>
      <c r="BE56" s="158"/>
      <c r="BF56" s="156"/>
      <c r="BG56" s="158"/>
      <c r="BH56" s="158"/>
      <c r="BI56" s="156"/>
      <c r="BJ56" s="158"/>
      <c r="BK56" s="158"/>
      <c r="BL56" s="169"/>
      <c r="BM56" s="169"/>
      <c r="BN56" s="158"/>
      <c r="BO56" s="169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9"/>
      <c r="CE56" s="160"/>
      <c r="CF56" s="160"/>
      <c r="CG56" s="88"/>
      <c r="CH56" s="161"/>
    </row>
    <row r="57" spans="1:86" ht="50.45" customHeight="1" x14ac:dyDescent="0.25">
      <c r="A57" s="63">
        <f>ROW()-5</f>
        <v>52</v>
      </c>
      <c r="B57" s="138" t="s">
        <v>492</v>
      </c>
      <c r="C57" s="134" t="s">
        <v>493</v>
      </c>
      <c r="D57" s="134">
        <v>9443502860</v>
      </c>
      <c r="E57" s="134" t="s">
        <v>494</v>
      </c>
      <c r="F57" s="134" t="s">
        <v>495</v>
      </c>
      <c r="G57" s="134" t="s">
        <v>226</v>
      </c>
      <c r="H57" s="134" t="s">
        <v>223</v>
      </c>
      <c r="I57" s="134">
        <v>525</v>
      </c>
      <c r="J57" s="2"/>
      <c r="K57" s="2"/>
      <c r="L57" s="2"/>
      <c r="M57" s="2"/>
      <c r="N57" s="2"/>
      <c r="O57" s="2"/>
      <c r="P57" s="2"/>
      <c r="Q57" s="2"/>
      <c r="R57" s="2"/>
      <c r="S57" s="2" t="s">
        <v>31</v>
      </c>
      <c r="T57" s="2"/>
      <c r="U57" s="2"/>
      <c r="V57" s="2" t="s">
        <v>31</v>
      </c>
      <c r="W57" s="2" t="s">
        <v>31</v>
      </c>
      <c r="X57" s="2"/>
      <c r="Y57" s="2" t="s">
        <v>31</v>
      </c>
      <c r="Z57" s="2" t="s">
        <v>31</v>
      </c>
      <c r="AA57" s="2"/>
      <c r="AB57" s="2"/>
      <c r="AC57" s="2"/>
      <c r="AD57" s="2"/>
      <c r="AE57" s="2" t="s">
        <v>31</v>
      </c>
      <c r="AF57" s="2"/>
      <c r="AG57" s="2"/>
      <c r="AH57" s="2" t="s">
        <v>31</v>
      </c>
      <c r="AI57" s="2"/>
      <c r="AJ57" s="2"/>
      <c r="AK57" s="2"/>
      <c r="AL57" s="2"/>
      <c r="AM57" s="2"/>
      <c r="AN57" s="5"/>
      <c r="AO57" s="5"/>
      <c r="AP57" s="5"/>
      <c r="AQ57" s="2" t="s">
        <v>31</v>
      </c>
      <c r="AR57" s="2" t="s">
        <v>31</v>
      </c>
      <c r="AS57" s="2" t="s">
        <v>31</v>
      </c>
      <c r="AT57" s="2" t="s">
        <v>31</v>
      </c>
      <c r="AU57" s="5"/>
      <c r="AV57" s="5"/>
      <c r="AW57" s="2" t="s">
        <v>31</v>
      </c>
      <c r="AX57" s="5"/>
      <c r="AY57" s="5"/>
      <c r="AZ57" s="5"/>
      <c r="BA57" s="5"/>
      <c r="BB57" s="5"/>
      <c r="BC57" s="16" t="s">
        <v>31</v>
      </c>
      <c r="BD57" s="5"/>
      <c r="BE57" s="5"/>
      <c r="BF57" s="5"/>
      <c r="BG57" s="5"/>
      <c r="BH57" s="5"/>
      <c r="BI57" s="16" t="s">
        <v>31</v>
      </c>
      <c r="BJ57" s="5"/>
      <c r="BK57" s="5"/>
      <c r="BL57" s="14" t="s">
        <v>31</v>
      </c>
      <c r="BM57" s="5"/>
      <c r="BN57" s="5"/>
      <c r="BO57" s="14" t="s">
        <v>31</v>
      </c>
      <c r="BP57" s="5"/>
      <c r="BQ57" s="5"/>
      <c r="BR57" s="14" t="s">
        <v>31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135">
        <f t="shared" ref="CD57:CD58" si="9">COUNTA(J57:CC57)</f>
        <v>17</v>
      </c>
      <c r="CE57" s="28" t="s">
        <v>1009</v>
      </c>
      <c r="CF57" s="182" t="s">
        <v>720</v>
      </c>
      <c r="CG57" s="20" t="s">
        <v>1012</v>
      </c>
      <c r="CH57" s="27" t="str">
        <f t="shared" si="1"/>
        <v>4</v>
      </c>
    </row>
    <row r="58" spans="1:86" ht="50.45" customHeight="1" x14ac:dyDescent="0.25">
      <c r="A58" s="63">
        <f>ROW()-5</f>
        <v>53</v>
      </c>
      <c r="B58" s="299" t="s">
        <v>499</v>
      </c>
      <c r="C58" s="134" t="s">
        <v>500</v>
      </c>
      <c r="D58" s="134">
        <v>9842444117</v>
      </c>
      <c r="E58" s="134" t="s">
        <v>501</v>
      </c>
      <c r="F58" s="134" t="s">
        <v>502</v>
      </c>
      <c r="G58" s="134" t="s">
        <v>226</v>
      </c>
      <c r="H58" s="134" t="s">
        <v>223</v>
      </c>
      <c r="I58" s="134">
        <v>682</v>
      </c>
      <c r="J58" s="2"/>
      <c r="K58" s="2"/>
      <c r="L58" s="2"/>
      <c r="M58" s="2" t="s">
        <v>31</v>
      </c>
      <c r="N58" s="2"/>
      <c r="O58" s="2"/>
      <c r="P58" s="2"/>
      <c r="Q58" s="2"/>
      <c r="R58" s="2"/>
      <c r="S58" s="2" t="s">
        <v>31</v>
      </c>
      <c r="T58" s="2" t="s">
        <v>31</v>
      </c>
      <c r="U58" s="2"/>
      <c r="V58" s="2" t="s">
        <v>31</v>
      </c>
      <c r="W58" s="2"/>
      <c r="X58" s="2"/>
      <c r="Y58" s="2" t="s">
        <v>31</v>
      </c>
      <c r="Z58" s="2" t="s">
        <v>31</v>
      </c>
      <c r="AA58" s="2"/>
      <c r="AB58" s="2"/>
      <c r="AC58" s="2"/>
      <c r="AD58" s="2"/>
      <c r="AE58" s="2" t="s">
        <v>31</v>
      </c>
      <c r="AF58" s="2" t="s">
        <v>31</v>
      </c>
      <c r="AG58" s="2"/>
      <c r="AH58" s="2" t="s">
        <v>31</v>
      </c>
      <c r="AI58" s="2"/>
      <c r="AJ58" s="2"/>
      <c r="AK58" s="2"/>
      <c r="AL58" s="2"/>
      <c r="AM58" s="2"/>
      <c r="AN58" s="2" t="s">
        <v>31</v>
      </c>
      <c r="AO58" s="5"/>
      <c r="AP58" s="5"/>
      <c r="AQ58" s="2" t="s">
        <v>31</v>
      </c>
      <c r="AR58" s="2" t="s">
        <v>31</v>
      </c>
      <c r="AS58" s="2" t="s">
        <v>31</v>
      </c>
      <c r="AT58" s="5"/>
      <c r="AU58" s="5"/>
      <c r="AV58" s="5"/>
      <c r="AW58" s="5"/>
      <c r="AX58" s="5"/>
      <c r="AY58" s="5"/>
      <c r="AZ58" s="5"/>
      <c r="BA58" s="5"/>
      <c r="BB58" s="5"/>
      <c r="BC58" s="16" t="s">
        <v>31</v>
      </c>
      <c r="BD58" s="5"/>
      <c r="BE58" s="5"/>
      <c r="BF58" s="14" t="s">
        <v>31</v>
      </c>
      <c r="BG58" s="14" t="s">
        <v>31</v>
      </c>
      <c r="BH58" s="5"/>
      <c r="BI58" s="16" t="s">
        <v>31</v>
      </c>
      <c r="BJ58" s="16" t="s">
        <v>31</v>
      </c>
      <c r="BK58" s="16" t="s">
        <v>961</v>
      </c>
      <c r="BL58" s="5"/>
      <c r="BM58" s="5"/>
      <c r="BN58" s="5"/>
      <c r="BO58" s="5"/>
      <c r="BP58" s="5"/>
      <c r="BQ58" s="5"/>
      <c r="BR58" s="5"/>
      <c r="BS58" s="5"/>
      <c r="BT58" s="5"/>
      <c r="BU58" s="16" t="s">
        <v>31</v>
      </c>
      <c r="BV58" s="5"/>
      <c r="BW58" s="5"/>
      <c r="BX58" s="5"/>
      <c r="BY58" s="5"/>
      <c r="BZ58" s="5"/>
      <c r="CA58" s="5"/>
      <c r="CB58" s="5"/>
      <c r="CC58" s="5"/>
      <c r="CD58" s="135">
        <f t="shared" si="9"/>
        <v>20</v>
      </c>
      <c r="CE58" s="28" t="s">
        <v>959</v>
      </c>
      <c r="CF58" s="182" t="s">
        <v>722</v>
      </c>
      <c r="CG58" s="20" t="s">
        <v>1066</v>
      </c>
      <c r="CH58" s="27" t="str">
        <f t="shared" si="1"/>
        <v>4</v>
      </c>
    </row>
    <row r="59" spans="1:86" ht="50.45" customHeight="1" x14ac:dyDescent="0.25"/>
    <row r="60" spans="1:86" ht="50.45" customHeight="1" x14ac:dyDescent="0.25"/>
    <row r="61" spans="1:86" ht="50.45" customHeight="1" x14ac:dyDescent="0.25"/>
    <row r="62" spans="1:86" ht="50.45" customHeight="1" x14ac:dyDescent="0.25"/>
    <row r="63" spans="1:86" ht="50.45" customHeight="1" x14ac:dyDescent="0.25"/>
    <row r="64" spans="1:86" ht="50.45" customHeight="1" x14ac:dyDescent="0.25"/>
    <row r="65" ht="50.45" customHeight="1" x14ac:dyDescent="0.25"/>
    <row r="66" ht="50.45" customHeight="1" x14ac:dyDescent="0.25"/>
    <row r="67" ht="50.45" customHeight="1" x14ac:dyDescent="0.25"/>
    <row r="68" ht="13.9" customHeight="1" x14ac:dyDescent="0.25"/>
    <row r="69" ht="50.45" customHeight="1" x14ac:dyDescent="0.25"/>
    <row r="70" ht="50.45" customHeight="1" x14ac:dyDescent="0.25"/>
    <row r="95" spans="1:86" ht="18.75" x14ac:dyDescent="0.25">
      <c r="A95" s="63">
        <f>ROW()-4</f>
        <v>91</v>
      </c>
      <c r="B95" s="214" t="s">
        <v>597</v>
      </c>
      <c r="C95" s="134"/>
      <c r="D95" s="134"/>
      <c r="E95" s="134"/>
      <c r="F95" s="134"/>
      <c r="G95" s="134" t="s">
        <v>226</v>
      </c>
      <c r="H95" s="134" t="s">
        <v>30</v>
      </c>
      <c r="I95" s="134"/>
      <c r="J95" s="2"/>
      <c r="K95" s="2"/>
      <c r="L95" s="2"/>
      <c r="M95" s="2"/>
      <c r="N95" s="2"/>
      <c r="O95" s="2"/>
      <c r="P95" s="2" t="s">
        <v>31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5"/>
      <c r="AO95" s="5"/>
      <c r="AP95" s="5"/>
      <c r="AQ95" s="5"/>
      <c r="AR95" s="5"/>
      <c r="AS95" s="5"/>
      <c r="AT95" s="2"/>
      <c r="AU95" s="5"/>
      <c r="AV95" s="5"/>
      <c r="AW95" s="5"/>
      <c r="AX95" s="5"/>
      <c r="AY95" s="5"/>
      <c r="AZ95" s="2"/>
      <c r="BA95" s="5"/>
      <c r="BB95" s="5"/>
      <c r="BC95" s="2"/>
      <c r="BD95" s="5"/>
      <c r="BE95" s="5"/>
      <c r="BF95" s="14"/>
      <c r="BG95" s="5"/>
      <c r="BH95" s="5"/>
      <c r="BI95" s="5"/>
      <c r="BJ95" s="5"/>
      <c r="BK95" s="5"/>
      <c r="BL95" s="43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135">
        <f t="shared" ref="CD95:CD106" si="10">COUNTA(J95:CC95)</f>
        <v>1</v>
      </c>
      <c r="CE95" s="28"/>
      <c r="CF95" s="28" t="s">
        <v>599</v>
      </c>
      <c r="CG95" s="20" t="s">
        <v>598</v>
      </c>
      <c r="CH95" s="27" t="str">
        <f t="shared" ref="CH95:CH106" si="11">IF(CD95&lt;=0,"0",IF(CD95=1,"1",IF(CD95=2,"2",IF(CD95=3,"3",IF(CD95&gt;=4,"4")))))</f>
        <v>1</v>
      </c>
    </row>
    <row r="96" spans="1:86" ht="18.75" x14ac:dyDescent="0.25">
      <c r="A96" s="63">
        <f t="shared" si="5"/>
        <v>92</v>
      </c>
      <c r="B96" s="214" t="s">
        <v>563</v>
      </c>
      <c r="C96" s="134"/>
      <c r="D96" s="134"/>
      <c r="E96" s="134"/>
      <c r="F96" s="134"/>
      <c r="G96" s="134" t="s">
        <v>226</v>
      </c>
      <c r="H96" s="134" t="s">
        <v>30</v>
      </c>
      <c r="I96" s="134">
        <v>1500</v>
      </c>
      <c r="J96" s="2"/>
      <c r="K96" s="2"/>
      <c r="L96" s="2"/>
      <c r="M96" s="2" t="s">
        <v>31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135">
        <f t="shared" si="10"/>
        <v>1</v>
      </c>
      <c r="CE96" s="28"/>
      <c r="CF96" s="28" t="s">
        <v>561</v>
      </c>
      <c r="CG96" s="20" t="s">
        <v>560</v>
      </c>
      <c r="CH96" s="27" t="str">
        <f t="shared" si="11"/>
        <v>1</v>
      </c>
    </row>
    <row r="97" spans="1:86" ht="47.25" x14ac:dyDescent="0.25">
      <c r="A97" s="63">
        <f t="shared" si="5"/>
        <v>93</v>
      </c>
      <c r="B97" s="214" t="s">
        <v>582</v>
      </c>
      <c r="C97" s="134"/>
      <c r="D97" s="134"/>
      <c r="E97" s="134"/>
      <c r="F97" s="134"/>
      <c r="G97" s="134" t="s">
        <v>226</v>
      </c>
      <c r="H97" s="134" t="s">
        <v>30</v>
      </c>
      <c r="I97" s="134"/>
      <c r="J97" s="2"/>
      <c r="K97" s="2"/>
      <c r="L97" s="2"/>
      <c r="M97" s="2"/>
      <c r="N97" s="2"/>
      <c r="O97" s="2"/>
      <c r="P97" s="2" t="s">
        <v>31</v>
      </c>
      <c r="Q97" s="2"/>
      <c r="R97" s="2"/>
      <c r="S97" s="2" t="s">
        <v>31</v>
      </c>
      <c r="T97" s="2"/>
      <c r="U97" s="2"/>
      <c r="V97" s="2" t="s">
        <v>31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135">
        <f t="shared" si="10"/>
        <v>3</v>
      </c>
      <c r="CE97" s="28"/>
      <c r="CF97" s="28" t="s">
        <v>622</v>
      </c>
      <c r="CG97" s="20" t="s">
        <v>621</v>
      </c>
      <c r="CH97" s="27" t="str">
        <f t="shared" si="11"/>
        <v>3</v>
      </c>
    </row>
    <row r="98" spans="1:86" ht="78.75" x14ac:dyDescent="0.25">
      <c r="A98" s="63">
        <f t="shared" si="5"/>
        <v>94</v>
      </c>
      <c r="B98" s="214" t="s">
        <v>390</v>
      </c>
      <c r="C98" s="134" t="s">
        <v>566</v>
      </c>
      <c r="D98" s="134"/>
      <c r="E98" s="134"/>
      <c r="F98" s="134"/>
      <c r="G98" s="134" t="s">
        <v>226</v>
      </c>
      <c r="H98" s="134" t="s">
        <v>132</v>
      </c>
      <c r="I98" s="134"/>
      <c r="J98" s="2"/>
      <c r="K98" s="2"/>
      <c r="L98" s="2"/>
      <c r="M98" s="2" t="s">
        <v>31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 t="s">
        <v>31</v>
      </c>
      <c r="AC98" s="2"/>
      <c r="AD98" s="2"/>
      <c r="AE98" s="2"/>
      <c r="AF98" s="2"/>
      <c r="AG98" s="2"/>
      <c r="AH98" s="2" t="s">
        <v>31</v>
      </c>
      <c r="AI98" s="2"/>
      <c r="AJ98" s="2"/>
      <c r="AK98" s="2"/>
      <c r="AL98" s="2"/>
      <c r="AM98" s="2"/>
      <c r="AN98" s="2"/>
      <c r="AO98" s="2"/>
      <c r="AP98" s="2"/>
      <c r="AQ98" s="2"/>
      <c r="AR98" s="16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135">
        <f t="shared" si="10"/>
        <v>3</v>
      </c>
      <c r="CE98" s="28"/>
      <c r="CF98" s="28" t="s">
        <v>767</v>
      </c>
      <c r="CG98" s="20" t="s">
        <v>766</v>
      </c>
      <c r="CH98" s="27" t="str">
        <f t="shared" si="11"/>
        <v>3</v>
      </c>
    </row>
    <row r="99" spans="1:86" ht="63" x14ac:dyDescent="0.25">
      <c r="A99" s="63">
        <f t="shared" si="5"/>
        <v>95</v>
      </c>
      <c r="B99" s="214" t="s">
        <v>567</v>
      </c>
      <c r="C99" s="134"/>
      <c r="D99" s="134"/>
      <c r="E99" s="134"/>
      <c r="F99" s="134"/>
      <c r="G99" s="134" t="s">
        <v>226</v>
      </c>
      <c r="H99" s="134" t="s">
        <v>20</v>
      </c>
      <c r="I99" s="134">
        <v>600</v>
      </c>
      <c r="J99" s="2"/>
      <c r="K99" s="2"/>
      <c r="L99" s="2"/>
      <c r="M99" s="2" t="s">
        <v>31</v>
      </c>
      <c r="N99" s="2"/>
      <c r="O99" s="2"/>
      <c r="P99" s="2" t="s">
        <v>31</v>
      </c>
      <c r="Q99" s="2"/>
      <c r="R99" s="2"/>
      <c r="S99" s="2" t="s">
        <v>31</v>
      </c>
      <c r="T99" s="2" t="s">
        <v>31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135">
        <f t="shared" si="10"/>
        <v>4</v>
      </c>
      <c r="CE99" s="28"/>
      <c r="CF99" s="28" t="s">
        <v>600</v>
      </c>
      <c r="CG99" s="20" t="s">
        <v>609</v>
      </c>
      <c r="CH99" s="27" t="str">
        <f t="shared" si="11"/>
        <v>4</v>
      </c>
    </row>
    <row r="100" spans="1:86" ht="30" x14ac:dyDescent="0.25">
      <c r="A100" s="63">
        <f t="shared" si="5"/>
        <v>96</v>
      </c>
      <c r="B100" s="214" t="s">
        <v>292</v>
      </c>
      <c r="C100" s="134" t="s">
        <v>297</v>
      </c>
      <c r="D100" s="134" t="s">
        <v>298</v>
      </c>
      <c r="E100" s="134" t="s">
        <v>295</v>
      </c>
      <c r="F100" s="134" t="s">
        <v>296</v>
      </c>
      <c r="G100" s="134" t="s">
        <v>226</v>
      </c>
      <c r="H100" s="134" t="s">
        <v>30</v>
      </c>
      <c r="I100" s="134">
        <v>2010</v>
      </c>
      <c r="J100" s="2"/>
      <c r="K100" s="2"/>
      <c r="L100" s="2"/>
      <c r="M100" s="2" t="s">
        <v>31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5"/>
      <c r="AO100" s="5"/>
      <c r="AP100" s="5"/>
      <c r="AQ100" s="5"/>
      <c r="AR100" s="5"/>
      <c r="AS100" s="5"/>
      <c r="AT100" s="2"/>
      <c r="AU100" s="5"/>
      <c r="AV100" s="5"/>
      <c r="AW100" s="5"/>
      <c r="AX100" s="5"/>
      <c r="AY100" s="5"/>
      <c r="AZ100" s="2"/>
      <c r="BA100" s="5"/>
      <c r="BB100" s="5"/>
      <c r="BC100" s="2"/>
      <c r="BD100" s="5"/>
      <c r="BE100" s="5"/>
      <c r="BF100" s="14"/>
      <c r="BG100" s="5"/>
      <c r="BH100" s="5"/>
      <c r="BI100" s="5"/>
      <c r="BJ100" s="5"/>
      <c r="BK100" s="5"/>
      <c r="BL100" s="43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135">
        <f t="shared" si="10"/>
        <v>1</v>
      </c>
      <c r="CE100" s="28"/>
      <c r="CF100" s="28" t="s">
        <v>561</v>
      </c>
      <c r="CG100" s="20" t="s">
        <v>562</v>
      </c>
      <c r="CH100" s="27" t="str">
        <f t="shared" si="11"/>
        <v>1</v>
      </c>
    </row>
    <row r="101" spans="1:86" ht="31.5" x14ac:dyDescent="0.25">
      <c r="A101" s="63">
        <f t="shared" si="5"/>
        <v>97</v>
      </c>
      <c r="B101" s="214" t="s">
        <v>467</v>
      </c>
      <c r="C101" s="134" t="s">
        <v>468</v>
      </c>
      <c r="D101" s="134" t="s">
        <v>469</v>
      </c>
      <c r="E101" s="134" t="s">
        <v>470</v>
      </c>
      <c r="F101" s="134" t="s">
        <v>471</v>
      </c>
      <c r="G101" s="134" t="s">
        <v>226</v>
      </c>
      <c r="H101" s="134" t="s">
        <v>30</v>
      </c>
      <c r="I101" s="134">
        <v>900</v>
      </c>
      <c r="J101" s="2"/>
      <c r="K101" s="2"/>
      <c r="L101" s="2"/>
      <c r="M101" s="2" t="s">
        <v>31</v>
      </c>
      <c r="N101" s="2"/>
      <c r="O101" s="2"/>
      <c r="P101" s="2"/>
      <c r="Q101" s="2"/>
      <c r="R101" s="2"/>
      <c r="S101" s="2" t="s">
        <v>31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135">
        <f t="shared" si="10"/>
        <v>2</v>
      </c>
      <c r="CE101" s="28"/>
      <c r="CF101" s="28" t="s">
        <v>549</v>
      </c>
      <c r="CG101" s="20" t="s">
        <v>604</v>
      </c>
      <c r="CH101" s="27" t="str">
        <f t="shared" si="11"/>
        <v>2</v>
      </c>
    </row>
    <row r="102" spans="1:86" ht="18.75" x14ac:dyDescent="0.25">
      <c r="A102" s="63">
        <f t="shared" si="5"/>
        <v>98</v>
      </c>
      <c r="B102" s="214" t="s">
        <v>556</v>
      </c>
      <c r="C102" s="134"/>
      <c r="D102" s="134"/>
      <c r="E102" s="134"/>
      <c r="F102" s="134"/>
      <c r="G102" s="134" t="s">
        <v>226</v>
      </c>
      <c r="H102" s="134" t="s">
        <v>20</v>
      </c>
      <c r="I102" s="134">
        <v>1200</v>
      </c>
      <c r="J102" s="2"/>
      <c r="K102" s="2"/>
      <c r="L102" s="2"/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135">
        <f t="shared" si="10"/>
        <v>1</v>
      </c>
      <c r="CE102" s="28"/>
      <c r="CF102" s="28" t="s">
        <v>555</v>
      </c>
      <c r="CG102" s="20" t="s">
        <v>557</v>
      </c>
      <c r="CH102" s="27" t="str">
        <f t="shared" si="11"/>
        <v>1</v>
      </c>
    </row>
    <row r="103" spans="1:86" ht="63" customHeight="1" x14ac:dyDescent="0.25">
      <c r="A103" s="63">
        <f t="shared" si="5"/>
        <v>99</v>
      </c>
      <c r="B103" s="214" t="s">
        <v>543</v>
      </c>
      <c r="C103" s="134" t="s">
        <v>544</v>
      </c>
      <c r="D103" s="134"/>
      <c r="E103" s="134" t="s">
        <v>545</v>
      </c>
      <c r="F103" s="134"/>
      <c r="G103" s="134" t="s">
        <v>226</v>
      </c>
      <c r="H103" s="134" t="s">
        <v>30</v>
      </c>
      <c r="I103" s="134">
        <v>1000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 t="s">
        <v>31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 t="s">
        <v>31</v>
      </c>
      <c r="AO103" s="5"/>
      <c r="AP103" s="5"/>
      <c r="AQ103" s="5" t="s">
        <v>31</v>
      </c>
      <c r="AR103" s="5"/>
      <c r="AS103" s="5"/>
      <c r="AT103" s="5"/>
      <c r="AU103" s="5"/>
      <c r="AV103" s="5"/>
      <c r="AW103" s="5" t="s">
        <v>31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135">
        <f t="shared" si="10"/>
        <v>4</v>
      </c>
      <c r="CE103" s="28" t="s">
        <v>857</v>
      </c>
      <c r="CF103" s="28"/>
      <c r="CG103" s="20" t="s">
        <v>919</v>
      </c>
      <c r="CH103" s="27" t="str">
        <f t="shared" si="11"/>
        <v>4</v>
      </c>
    </row>
    <row r="104" spans="1:86" ht="31.5" x14ac:dyDescent="0.25">
      <c r="A104" s="63">
        <f t="shared" si="5"/>
        <v>100</v>
      </c>
      <c r="B104" s="214" t="s">
        <v>558</v>
      </c>
      <c r="C104" s="134" t="s">
        <v>559</v>
      </c>
      <c r="D104" s="134"/>
      <c r="E104" s="134"/>
      <c r="F104" s="134"/>
      <c r="G104" s="134" t="s">
        <v>226</v>
      </c>
      <c r="H104" s="134" t="s">
        <v>30</v>
      </c>
      <c r="I104" s="134">
        <v>1800</v>
      </c>
      <c r="J104" s="2"/>
      <c r="K104" s="2"/>
      <c r="L104" s="2"/>
      <c r="M104" s="2" t="s">
        <v>31</v>
      </c>
      <c r="N104" s="2"/>
      <c r="O104" s="2"/>
      <c r="P104" s="2"/>
      <c r="Q104" s="2"/>
      <c r="R104" s="2"/>
      <c r="S104" s="2" t="s">
        <v>31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135">
        <f t="shared" si="10"/>
        <v>2</v>
      </c>
      <c r="CE104" s="28"/>
      <c r="CF104" s="28" t="s">
        <v>555</v>
      </c>
      <c r="CG104" s="20" t="s">
        <v>605</v>
      </c>
      <c r="CH104" s="27" t="str">
        <f t="shared" si="11"/>
        <v>2</v>
      </c>
    </row>
    <row r="105" spans="1:86" ht="31.5" x14ac:dyDescent="0.25">
      <c r="A105" s="63">
        <f t="shared" si="5"/>
        <v>101</v>
      </c>
      <c r="B105" s="214" t="s">
        <v>253</v>
      </c>
      <c r="C105" s="134" t="s">
        <v>254</v>
      </c>
      <c r="D105" s="134"/>
      <c r="E105" s="134"/>
      <c r="F105" s="134" t="s">
        <v>255</v>
      </c>
      <c r="G105" s="134" t="s">
        <v>226</v>
      </c>
      <c r="H105" s="134" t="s">
        <v>30</v>
      </c>
      <c r="I105" s="134">
        <v>1200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31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135">
        <f t="shared" si="10"/>
        <v>1</v>
      </c>
      <c r="CE105" s="28"/>
      <c r="CF105" s="28" t="s">
        <v>674</v>
      </c>
      <c r="CG105" s="20" t="s">
        <v>673</v>
      </c>
      <c r="CH105" s="27" t="str">
        <f t="shared" si="11"/>
        <v>1</v>
      </c>
    </row>
    <row r="106" spans="1:86" ht="47.25" x14ac:dyDescent="0.25">
      <c r="A106" s="63">
        <f t="shared" si="5"/>
        <v>102</v>
      </c>
      <c r="B106" s="214" t="s">
        <v>253</v>
      </c>
      <c r="C106" s="134" t="s">
        <v>266</v>
      </c>
      <c r="D106" s="134"/>
      <c r="E106" s="134" t="s">
        <v>266</v>
      </c>
      <c r="F106" s="134" t="s">
        <v>255</v>
      </c>
      <c r="G106" s="134" t="s">
        <v>226</v>
      </c>
      <c r="H106" s="134" t="s">
        <v>30</v>
      </c>
      <c r="I106" s="134">
        <v>1200</v>
      </c>
      <c r="J106" s="2"/>
      <c r="K106" s="2"/>
      <c r="L106" s="2"/>
      <c r="M106" s="2" t="s">
        <v>31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 t="s">
        <v>31</v>
      </c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135">
        <f t="shared" si="10"/>
        <v>2</v>
      </c>
      <c r="CE106" s="28"/>
      <c r="CF106" s="28" t="s">
        <v>846</v>
      </c>
      <c r="CG106" s="20" t="s">
        <v>845</v>
      </c>
      <c r="CH106" s="27" t="str">
        <f t="shared" si="11"/>
        <v>2</v>
      </c>
    </row>
    <row r="115" spans="1:86" ht="50.45" customHeight="1" x14ac:dyDescent="0.25">
      <c r="A115" s="63">
        <f t="shared" si="2"/>
        <v>112</v>
      </c>
      <c r="B115" s="214" t="s">
        <v>250</v>
      </c>
      <c r="C115" s="134" t="s">
        <v>487</v>
      </c>
      <c r="D115" s="134">
        <v>9487157801</v>
      </c>
      <c r="E115" s="134" t="s">
        <v>483</v>
      </c>
      <c r="F115" s="134" t="s">
        <v>252</v>
      </c>
      <c r="G115" s="134" t="s">
        <v>226</v>
      </c>
      <c r="H115" s="134" t="s">
        <v>15</v>
      </c>
      <c r="I115" s="134">
        <v>1050</v>
      </c>
      <c r="J115" s="2"/>
      <c r="K115" s="2"/>
      <c r="L115" s="2"/>
      <c r="M115" s="2" t="s">
        <v>31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 t="s">
        <v>31</v>
      </c>
      <c r="AI115" s="2"/>
      <c r="AJ115" s="2"/>
      <c r="AK115" s="2"/>
      <c r="AL115" s="2"/>
      <c r="AM115" s="2"/>
      <c r="AN115" s="5"/>
      <c r="AO115" s="5"/>
      <c r="AP115" s="5"/>
      <c r="AQ115" s="5"/>
      <c r="AR115" s="5"/>
      <c r="AS115" s="5"/>
      <c r="AT115" s="5" t="s">
        <v>31</v>
      </c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135">
        <f t="shared" ref="CD115:CD130" si="12">COUNTA(J115:CC115)</f>
        <v>3</v>
      </c>
      <c r="CE115" s="28"/>
      <c r="CF115" s="28" t="s">
        <v>548</v>
      </c>
      <c r="CG115" s="20" t="s">
        <v>872</v>
      </c>
      <c r="CH115" s="27" t="str">
        <f t="shared" ref="CH115:CH130" si="13">IF(CD115&lt;=0,"0",IF(CD115=1,"1",IF(CD115=2,"2",IF(CD115=3,"3",IF(CD115&gt;=4,"4")))))</f>
        <v>3</v>
      </c>
    </row>
    <row r="116" spans="1:86" ht="50.45" customHeight="1" x14ac:dyDescent="0.25">
      <c r="A116" s="63">
        <f t="shared" si="2"/>
        <v>113</v>
      </c>
      <c r="B116" s="214" t="s">
        <v>583</v>
      </c>
      <c r="C116" s="134"/>
      <c r="D116" s="134"/>
      <c r="E116" s="134"/>
      <c r="F116" s="134"/>
      <c r="G116" s="134" t="s">
        <v>226</v>
      </c>
      <c r="H116" s="134" t="s">
        <v>15</v>
      </c>
      <c r="I116" s="134"/>
      <c r="J116" s="2"/>
      <c r="K116" s="2"/>
      <c r="L116" s="2"/>
      <c r="M116" s="2"/>
      <c r="N116" s="2"/>
      <c r="O116" s="2"/>
      <c r="P116" s="2" t="s">
        <v>31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135">
        <f t="shared" si="12"/>
        <v>1</v>
      </c>
      <c r="CE116" s="28"/>
      <c r="CF116" s="28" t="s">
        <v>585</v>
      </c>
      <c r="CG116" s="20" t="s">
        <v>584</v>
      </c>
      <c r="CH116" s="27" t="str">
        <f t="shared" si="13"/>
        <v>1</v>
      </c>
    </row>
    <row r="117" spans="1:86" ht="50.45" customHeight="1" x14ac:dyDescent="0.25">
      <c r="A117" s="63">
        <f t="shared" si="2"/>
        <v>114</v>
      </c>
      <c r="B117" s="214" t="s">
        <v>550</v>
      </c>
      <c r="C117" s="134"/>
      <c r="D117" s="134"/>
      <c r="E117" s="134"/>
      <c r="F117" s="134"/>
      <c r="G117" s="134" t="s">
        <v>226</v>
      </c>
      <c r="H117" s="134" t="s">
        <v>15</v>
      </c>
      <c r="I117" s="134">
        <v>1600</v>
      </c>
      <c r="J117" s="2"/>
      <c r="K117" s="2"/>
      <c r="L117" s="2"/>
      <c r="M117" s="2" t="s">
        <v>31</v>
      </c>
      <c r="N117" s="2"/>
      <c r="O117" s="2"/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 t="s">
        <v>31</v>
      </c>
      <c r="AF117" s="2" t="s">
        <v>31</v>
      </c>
      <c r="AG117" s="2"/>
      <c r="AH117" s="2" t="s">
        <v>31</v>
      </c>
      <c r="AI117" s="2" t="s">
        <v>31</v>
      </c>
      <c r="AJ117" s="2"/>
      <c r="AK117" s="2"/>
      <c r="AL117" s="2"/>
      <c r="AM117" s="2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135">
        <f t="shared" si="12"/>
        <v>10</v>
      </c>
      <c r="CE117" s="28" t="s">
        <v>769</v>
      </c>
      <c r="CF117" s="28" t="s">
        <v>735</v>
      </c>
      <c r="CG117" s="20" t="s">
        <v>770</v>
      </c>
      <c r="CH117" s="27" t="str">
        <f t="shared" si="13"/>
        <v>4</v>
      </c>
    </row>
    <row r="118" spans="1:86" ht="50.45" customHeight="1" x14ac:dyDescent="0.25">
      <c r="A118" s="63">
        <f t="shared" si="2"/>
        <v>115</v>
      </c>
      <c r="B118" s="214" t="s">
        <v>550</v>
      </c>
      <c r="C118" s="134"/>
      <c r="D118" s="134"/>
      <c r="E118" s="134"/>
      <c r="F118" s="134"/>
      <c r="G118" s="134" t="s">
        <v>226</v>
      </c>
      <c r="H118" s="134" t="s">
        <v>15</v>
      </c>
      <c r="I118" s="134">
        <v>1200</v>
      </c>
      <c r="J118" s="2"/>
      <c r="K118" s="2"/>
      <c r="L118" s="2"/>
      <c r="M118" s="2" t="s">
        <v>31</v>
      </c>
      <c r="N118" s="2"/>
      <c r="O118" s="2"/>
      <c r="P118" s="2"/>
      <c r="Q118" s="2"/>
      <c r="R118" s="2"/>
      <c r="S118" s="2"/>
      <c r="T118" s="2"/>
      <c r="U118" s="2"/>
      <c r="V118" s="2" t="s">
        <v>31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">
        <v>31</v>
      </c>
      <c r="AL118" s="2"/>
      <c r="AM118" s="2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135">
        <f t="shared" si="12"/>
        <v>3</v>
      </c>
      <c r="CE118" s="28"/>
      <c r="CF118" s="28" t="s">
        <v>620</v>
      </c>
      <c r="CG118" s="20" t="s">
        <v>807</v>
      </c>
      <c r="CH118" s="27" t="str">
        <f t="shared" si="13"/>
        <v>3</v>
      </c>
    </row>
    <row r="119" spans="1:86" ht="50.45" customHeight="1" x14ac:dyDescent="0.25">
      <c r="A119" s="63">
        <f t="shared" si="2"/>
        <v>116</v>
      </c>
      <c r="B119" s="214" t="s">
        <v>302</v>
      </c>
      <c r="C119" s="134" t="s">
        <v>531</v>
      </c>
      <c r="D119" s="134">
        <v>9688194370</v>
      </c>
      <c r="E119" s="134" t="s">
        <v>532</v>
      </c>
      <c r="F119" s="134" t="s">
        <v>304</v>
      </c>
      <c r="G119" s="134" t="s">
        <v>226</v>
      </c>
      <c r="H119" s="134" t="s">
        <v>15</v>
      </c>
      <c r="I119" s="134">
        <v>1000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s">
        <v>31</v>
      </c>
      <c r="AF119" s="2"/>
      <c r="AG119" s="2"/>
      <c r="AH119" s="2"/>
      <c r="AI119" s="2"/>
      <c r="AJ119" s="2"/>
      <c r="AK119" s="2"/>
      <c r="AL119" s="2"/>
      <c r="AM119" s="2"/>
      <c r="AN119" s="14" t="s">
        <v>31</v>
      </c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135">
        <f t="shared" si="12"/>
        <v>2</v>
      </c>
      <c r="CE119" s="28"/>
      <c r="CF119" s="28"/>
      <c r="CG119" s="20" t="s">
        <v>822</v>
      </c>
      <c r="CH119" s="27" t="str">
        <f t="shared" si="13"/>
        <v>2</v>
      </c>
    </row>
    <row r="120" spans="1:86" ht="50.45" customHeight="1" x14ac:dyDescent="0.25">
      <c r="A120" s="63">
        <f t="shared" si="2"/>
        <v>117</v>
      </c>
      <c r="B120" s="214" t="s">
        <v>351</v>
      </c>
      <c r="C120" s="134" t="s">
        <v>375</v>
      </c>
      <c r="D120" s="134">
        <v>9942810251</v>
      </c>
      <c r="E120" s="134" t="s">
        <v>352</v>
      </c>
      <c r="F120" s="134" t="s">
        <v>353</v>
      </c>
      <c r="G120" s="134" t="s">
        <v>226</v>
      </c>
      <c r="H120" s="134" t="s">
        <v>15</v>
      </c>
      <c r="I120" s="134">
        <v>1200</v>
      </c>
      <c r="J120" s="2"/>
      <c r="K120" s="2"/>
      <c r="L120" s="2"/>
      <c r="M120" s="2"/>
      <c r="N120" s="2"/>
      <c r="O120" s="2"/>
      <c r="P120" s="2" t="s">
        <v>31</v>
      </c>
      <c r="Q120" s="2"/>
      <c r="R120" s="2"/>
      <c r="S120" s="2"/>
      <c r="T120" s="2"/>
      <c r="U120" s="2"/>
      <c r="V120" s="2"/>
      <c r="W120" s="2"/>
      <c r="X120" s="2"/>
      <c r="Y120" s="2"/>
      <c r="Z120" s="2" t="s">
        <v>31</v>
      </c>
      <c r="AA120" s="2" t="s">
        <v>31</v>
      </c>
      <c r="AB120" s="2" t="s">
        <v>31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135">
        <f t="shared" si="12"/>
        <v>4</v>
      </c>
      <c r="CE120" s="28" t="s">
        <v>683</v>
      </c>
      <c r="CF120" s="28" t="s">
        <v>675</v>
      </c>
      <c r="CG120" s="20" t="s">
        <v>684</v>
      </c>
      <c r="CH120" s="27" t="str">
        <f t="shared" si="13"/>
        <v>4</v>
      </c>
    </row>
    <row r="121" spans="1:86" ht="50.45" customHeight="1" x14ac:dyDescent="0.25">
      <c r="A121" s="63">
        <f t="shared" si="2"/>
        <v>118</v>
      </c>
      <c r="B121" s="214" t="s">
        <v>568</v>
      </c>
      <c r="C121" s="134"/>
      <c r="D121" s="134"/>
      <c r="E121" s="134"/>
      <c r="F121" s="134"/>
      <c r="G121" s="134" t="s">
        <v>226</v>
      </c>
      <c r="H121" s="134" t="s">
        <v>15</v>
      </c>
      <c r="I121" s="134">
        <v>400</v>
      </c>
      <c r="J121" s="2"/>
      <c r="K121" s="2"/>
      <c r="L121" s="2"/>
      <c r="M121" s="2" t="s">
        <v>31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135">
        <f t="shared" si="12"/>
        <v>1</v>
      </c>
      <c r="CE121" s="28"/>
      <c r="CF121" s="28" t="s">
        <v>570</v>
      </c>
      <c r="CG121" s="20" t="s">
        <v>569</v>
      </c>
      <c r="CH121" s="27" t="str">
        <f t="shared" si="13"/>
        <v>1</v>
      </c>
    </row>
    <row r="122" spans="1:86" ht="50.45" customHeight="1" x14ac:dyDescent="0.25">
      <c r="A122" s="63">
        <f t="shared" si="2"/>
        <v>119</v>
      </c>
      <c r="B122" s="214" t="s">
        <v>601</v>
      </c>
      <c r="C122" s="134"/>
      <c r="D122" s="134"/>
      <c r="E122" s="134"/>
      <c r="F122" s="134"/>
      <c r="G122" s="134" t="s">
        <v>226</v>
      </c>
      <c r="H122" s="134" t="s">
        <v>602</v>
      </c>
      <c r="I122" s="134"/>
      <c r="J122" s="2"/>
      <c r="K122" s="2"/>
      <c r="L122" s="2"/>
      <c r="M122" s="2"/>
      <c r="N122" s="2"/>
      <c r="O122" s="2"/>
      <c r="P122" s="2" t="s">
        <v>31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135">
        <f t="shared" si="12"/>
        <v>1</v>
      </c>
      <c r="CE122" s="28"/>
      <c r="CF122" s="28" t="s">
        <v>599</v>
      </c>
      <c r="CG122" s="20" t="s">
        <v>603</v>
      </c>
      <c r="CH122" s="27" t="str">
        <f t="shared" si="13"/>
        <v>1</v>
      </c>
    </row>
    <row r="123" spans="1:86" ht="50.45" customHeight="1" x14ac:dyDescent="0.25">
      <c r="A123" s="63">
        <f t="shared" si="2"/>
        <v>120</v>
      </c>
      <c r="B123" s="214" t="s">
        <v>434</v>
      </c>
      <c r="C123" s="134" t="s">
        <v>435</v>
      </c>
      <c r="D123" s="134">
        <v>848937685</v>
      </c>
      <c r="E123" s="134" t="s">
        <v>436</v>
      </c>
      <c r="F123" s="134" t="s">
        <v>437</v>
      </c>
      <c r="G123" s="134" t="s">
        <v>226</v>
      </c>
      <c r="H123" s="134" t="s">
        <v>15</v>
      </c>
      <c r="I123" s="134">
        <v>625</v>
      </c>
      <c r="J123" s="2"/>
      <c r="K123" s="2"/>
      <c r="L123" s="2"/>
      <c r="M123" s="2" t="s">
        <v>31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135">
        <f t="shared" si="12"/>
        <v>1</v>
      </c>
      <c r="CE123" s="28"/>
      <c r="CF123" s="28" t="s">
        <v>555</v>
      </c>
      <c r="CG123" s="20" t="s">
        <v>554</v>
      </c>
      <c r="CH123" s="27" t="str">
        <f t="shared" si="13"/>
        <v>1</v>
      </c>
    </row>
    <row r="124" spans="1:86" ht="50.45" customHeight="1" x14ac:dyDescent="0.25">
      <c r="A124" s="63">
        <f t="shared" si="2"/>
        <v>121</v>
      </c>
      <c r="B124" s="214" t="s">
        <v>231</v>
      </c>
      <c r="C124" s="134" t="s">
        <v>503</v>
      </c>
      <c r="D124" s="134">
        <v>9894008886</v>
      </c>
      <c r="E124" s="134" t="s">
        <v>504</v>
      </c>
      <c r="F124" s="134" t="s">
        <v>233</v>
      </c>
      <c r="G124" s="134" t="s">
        <v>226</v>
      </c>
      <c r="H124" s="134" t="s">
        <v>15</v>
      </c>
      <c r="I124" s="134">
        <v>1500</v>
      </c>
      <c r="J124" s="2"/>
      <c r="K124" s="2"/>
      <c r="L124" s="2"/>
      <c r="M124" s="2" t="s">
        <v>31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135">
        <f t="shared" si="12"/>
        <v>1</v>
      </c>
      <c r="CE124" s="28"/>
      <c r="CF124" s="28"/>
      <c r="CG124" s="20" t="s">
        <v>796</v>
      </c>
      <c r="CH124" s="27" t="str">
        <f t="shared" si="13"/>
        <v>1</v>
      </c>
    </row>
    <row r="125" spans="1:86" ht="50.45" customHeight="1" x14ac:dyDescent="0.25">
      <c r="A125" s="63">
        <f t="shared" si="2"/>
        <v>122</v>
      </c>
      <c r="B125" s="214" t="s">
        <v>231</v>
      </c>
      <c r="C125" s="134" t="s">
        <v>537</v>
      </c>
      <c r="D125" s="134"/>
      <c r="E125" s="134"/>
      <c r="F125" s="134" t="s">
        <v>233</v>
      </c>
      <c r="G125" s="134" t="s">
        <v>226</v>
      </c>
      <c r="H125" s="134" t="s">
        <v>15</v>
      </c>
      <c r="I125" s="134">
        <v>1500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 t="s">
        <v>31</v>
      </c>
      <c r="Z125" s="2" t="s">
        <v>31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135">
        <f t="shared" si="12"/>
        <v>2</v>
      </c>
      <c r="CE125" s="28"/>
      <c r="CF125" s="28"/>
      <c r="CG125" s="20" t="s">
        <v>672</v>
      </c>
      <c r="CH125" s="27" t="str">
        <f t="shared" si="13"/>
        <v>2</v>
      </c>
    </row>
    <row r="126" spans="1:86" ht="50.45" customHeight="1" x14ac:dyDescent="0.25">
      <c r="A126" s="63">
        <f t="shared" si="2"/>
        <v>123</v>
      </c>
      <c r="B126" s="214" t="s">
        <v>441</v>
      </c>
      <c r="C126" s="134" t="s">
        <v>442</v>
      </c>
      <c r="D126" s="134" t="s">
        <v>443</v>
      </c>
      <c r="E126" s="134"/>
      <c r="F126" s="134"/>
      <c r="G126" s="134" t="s">
        <v>226</v>
      </c>
      <c r="H126" s="134" t="s">
        <v>15</v>
      </c>
      <c r="I126" s="134">
        <v>517</v>
      </c>
      <c r="J126" s="2"/>
      <c r="K126" s="2"/>
      <c r="L126" s="2"/>
      <c r="M126" s="2"/>
      <c r="N126" s="2"/>
      <c r="O126" s="2"/>
      <c r="P126" s="2"/>
      <c r="Q126" s="2"/>
      <c r="R126" s="2"/>
      <c r="S126" s="2" t="s">
        <v>31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135">
        <f t="shared" si="12"/>
        <v>1</v>
      </c>
      <c r="CE126" s="28"/>
      <c r="CF126" s="28"/>
      <c r="CG126" s="20" t="s">
        <v>606</v>
      </c>
      <c r="CH126" s="27" t="str">
        <f t="shared" si="13"/>
        <v>1</v>
      </c>
    </row>
    <row r="127" spans="1:86" ht="50.45" customHeight="1" x14ac:dyDescent="0.25">
      <c r="A127" s="63">
        <f t="shared" si="2"/>
        <v>124</v>
      </c>
      <c r="B127" s="214" t="s">
        <v>441</v>
      </c>
      <c r="C127" s="134" t="s">
        <v>564</v>
      </c>
      <c r="D127" s="134"/>
      <c r="E127" s="134"/>
      <c r="F127" s="134"/>
      <c r="G127" s="134" t="s">
        <v>226</v>
      </c>
      <c r="H127" s="134" t="s">
        <v>15</v>
      </c>
      <c r="I127" s="134">
        <v>1100</v>
      </c>
      <c r="J127" s="2"/>
      <c r="K127" s="2"/>
      <c r="L127" s="2"/>
      <c r="M127" s="2" t="s">
        <v>31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135">
        <f t="shared" si="12"/>
        <v>1</v>
      </c>
      <c r="CE127" s="28"/>
      <c r="CF127" s="28" t="s">
        <v>561</v>
      </c>
      <c r="CG127" s="20" t="s">
        <v>565</v>
      </c>
      <c r="CH127" s="27" t="str">
        <f t="shared" si="13"/>
        <v>1</v>
      </c>
    </row>
    <row r="128" spans="1:86" ht="50.45" customHeight="1" x14ac:dyDescent="0.25">
      <c r="A128" s="63">
        <f t="shared" si="2"/>
        <v>125</v>
      </c>
      <c r="B128" s="214" t="s">
        <v>577</v>
      </c>
      <c r="C128" s="134"/>
      <c r="D128" s="134"/>
      <c r="E128" s="134"/>
      <c r="F128" s="134"/>
      <c r="G128" s="134" t="s">
        <v>226</v>
      </c>
      <c r="H128" s="134" t="s">
        <v>15</v>
      </c>
      <c r="I128" s="134">
        <v>800</v>
      </c>
      <c r="J128" s="2"/>
      <c r="K128" s="2"/>
      <c r="L128" s="2"/>
      <c r="M128" s="2" t="s">
        <v>31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135">
        <f t="shared" si="12"/>
        <v>1</v>
      </c>
      <c r="CE128" s="28"/>
      <c r="CF128" s="28" t="s">
        <v>579</v>
      </c>
      <c r="CG128" s="20" t="s">
        <v>578</v>
      </c>
      <c r="CH128" s="27" t="str">
        <f t="shared" si="13"/>
        <v>1</v>
      </c>
    </row>
    <row r="129" spans="1:86" ht="50.45" customHeight="1" x14ac:dyDescent="0.25">
      <c r="A129" s="63">
        <f t="shared" si="2"/>
        <v>126</v>
      </c>
      <c r="B129" s="214" t="s">
        <v>575</v>
      </c>
      <c r="C129" s="134"/>
      <c r="D129" s="134"/>
      <c r="E129" s="134"/>
      <c r="F129" s="134"/>
      <c r="G129" s="134" t="s">
        <v>226</v>
      </c>
      <c r="H129" s="134" t="s">
        <v>15</v>
      </c>
      <c r="I129" s="134">
        <v>450</v>
      </c>
      <c r="J129" s="2"/>
      <c r="K129" s="2"/>
      <c r="L129" s="2"/>
      <c r="M129" s="2" t="s">
        <v>31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135">
        <f t="shared" si="12"/>
        <v>1</v>
      </c>
      <c r="CE129" s="28"/>
      <c r="CF129" s="28" t="s">
        <v>573</v>
      </c>
      <c r="CG129" s="20" t="s">
        <v>576</v>
      </c>
      <c r="CH129" s="27" t="str">
        <f t="shared" si="13"/>
        <v>1</v>
      </c>
    </row>
    <row r="130" spans="1:86" ht="50.45" customHeight="1" x14ac:dyDescent="0.25">
      <c r="A130" s="63">
        <f t="shared" si="2"/>
        <v>127</v>
      </c>
      <c r="B130" s="214" t="s">
        <v>372</v>
      </c>
      <c r="C130" s="134" t="s">
        <v>693</v>
      </c>
      <c r="D130" s="134">
        <v>9976126343</v>
      </c>
      <c r="E130" s="134" t="s">
        <v>373</v>
      </c>
      <c r="F130" s="134" t="s">
        <v>374</v>
      </c>
      <c r="G130" s="134" t="s">
        <v>226</v>
      </c>
      <c r="H130" s="134" t="s">
        <v>15</v>
      </c>
      <c r="I130" s="134">
        <v>900</v>
      </c>
      <c r="J130" s="2"/>
      <c r="K130" s="2"/>
      <c r="L130" s="2"/>
      <c r="M130" s="2"/>
      <c r="N130" s="2"/>
      <c r="O130" s="2"/>
      <c r="P130" s="2" t="s">
        <v>31</v>
      </c>
      <c r="Q130" s="2"/>
      <c r="R130" s="2"/>
      <c r="S130" s="2" t="s">
        <v>31</v>
      </c>
      <c r="T130" s="2"/>
      <c r="U130" s="2"/>
      <c r="V130" s="2"/>
      <c r="W130" s="2"/>
      <c r="X130" s="2"/>
      <c r="Y130" s="2"/>
      <c r="Z130" s="2"/>
      <c r="AA130" s="2"/>
      <c r="AB130" s="2" t="s">
        <v>31</v>
      </c>
      <c r="AC130" s="2"/>
      <c r="AD130" s="2"/>
      <c r="AE130" s="2"/>
      <c r="AF130" s="2"/>
      <c r="AG130" s="2"/>
      <c r="AH130" s="2" t="s">
        <v>31</v>
      </c>
      <c r="AI130" s="2"/>
      <c r="AJ130" s="2"/>
      <c r="AK130" s="2"/>
      <c r="AL130" s="2"/>
      <c r="AM130" s="2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135">
        <f t="shared" si="12"/>
        <v>4</v>
      </c>
      <c r="CE130" s="28" t="s">
        <v>738</v>
      </c>
      <c r="CF130" s="28" t="s">
        <v>694</v>
      </c>
      <c r="CG130" s="20" t="s">
        <v>739</v>
      </c>
      <c r="CH130" s="27" t="str">
        <f t="shared" si="13"/>
        <v>4</v>
      </c>
    </row>
    <row r="136" spans="1:86" ht="50.45" customHeight="1" x14ac:dyDescent="0.25">
      <c r="A136" s="63">
        <v>2</v>
      </c>
      <c r="B136" s="138" t="s">
        <v>224</v>
      </c>
      <c r="C136" s="134" t="s">
        <v>533</v>
      </c>
      <c r="D136" s="134"/>
      <c r="E136" s="134"/>
      <c r="F136" s="134" t="s">
        <v>225</v>
      </c>
      <c r="G136" s="134" t="s">
        <v>226</v>
      </c>
      <c r="H136" s="134" t="s">
        <v>15</v>
      </c>
      <c r="I136" s="134">
        <v>1500</v>
      </c>
      <c r="J136" s="38"/>
      <c r="K136" s="99"/>
      <c r="L136" s="99"/>
      <c r="M136" s="99"/>
      <c r="N136" s="99"/>
      <c r="O136" s="99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135">
        <f t="shared" ref="CD136:CD157" si="14">COUNTA(J136:CC136)</f>
        <v>0</v>
      </c>
      <c r="CE136" s="28"/>
      <c r="CF136" s="28"/>
      <c r="CG136" s="20"/>
      <c r="CH136" s="27" t="str">
        <f t="shared" ref="CH136:CH157" si="15">IF(CD136&lt;=0,"0",IF(CD136=1,"1",IF(CD136=2,"2",IF(CD136=3,"3",IF(CD136&gt;=4,"4")))))</f>
        <v>0</v>
      </c>
    </row>
    <row r="137" spans="1:86" ht="50.45" customHeight="1" x14ac:dyDescent="0.25">
      <c r="A137" s="63">
        <v>3</v>
      </c>
      <c r="B137" s="138" t="s">
        <v>224</v>
      </c>
      <c r="C137" s="134" t="s">
        <v>533</v>
      </c>
      <c r="D137" s="134"/>
      <c r="E137" s="134"/>
      <c r="F137" s="134" t="s">
        <v>225</v>
      </c>
      <c r="G137" s="134" t="s">
        <v>226</v>
      </c>
      <c r="H137" s="134" t="s">
        <v>15</v>
      </c>
      <c r="I137" s="134">
        <v>1500</v>
      </c>
      <c r="J137" s="38"/>
      <c r="K137" s="99"/>
      <c r="L137" s="99"/>
      <c r="M137" s="99"/>
      <c r="N137" s="99"/>
      <c r="O137" s="99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135">
        <f t="shared" si="14"/>
        <v>0</v>
      </c>
      <c r="CE137" s="28"/>
      <c r="CF137" s="28"/>
      <c r="CG137" s="20"/>
      <c r="CH137" s="27" t="str">
        <f t="shared" si="15"/>
        <v>0</v>
      </c>
    </row>
    <row r="138" spans="1:86" ht="50.45" customHeight="1" x14ac:dyDescent="0.25">
      <c r="A138" s="133">
        <v>4</v>
      </c>
      <c r="B138" s="138" t="s">
        <v>224</v>
      </c>
      <c r="C138" s="134" t="s">
        <v>540</v>
      </c>
      <c r="D138" s="134"/>
      <c r="E138" s="134"/>
      <c r="F138" s="134" t="s">
        <v>225</v>
      </c>
      <c r="G138" s="134" t="s">
        <v>226</v>
      </c>
      <c r="H138" s="134" t="s">
        <v>15</v>
      </c>
      <c r="I138" s="134">
        <v>1500</v>
      </c>
      <c r="J138" s="38"/>
      <c r="K138" s="99"/>
      <c r="L138" s="99"/>
      <c r="M138" s="99"/>
      <c r="N138" s="99"/>
      <c r="O138" s="99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135">
        <f t="shared" si="14"/>
        <v>0</v>
      </c>
      <c r="CE138" s="28"/>
      <c r="CF138" s="28"/>
      <c r="CG138" s="20"/>
      <c r="CH138" s="27" t="str">
        <f t="shared" si="15"/>
        <v>0</v>
      </c>
    </row>
    <row r="139" spans="1:86" ht="50.45" customHeight="1" x14ac:dyDescent="0.25">
      <c r="A139" s="174">
        <v>5</v>
      </c>
      <c r="B139" s="138" t="s">
        <v>224</v>
      </c>
      <c r="C139" s="134" t="s">
        <v>540</v>
      </c>
      <c r="D139" s="134"/>
      <c r="E139" s="134"/>
      <c r="F139" s="134" t="s">
        <v>225</v>
      </c>
      <c r="G139" s="134" t="s">
        <v>226</v>
      </c>
      <c r="H139" s="134" t="s">
        <v>15</v>
      </c>
      <c r="I139" s="134">
        <v>1500</v>
      </c>
      <c r="J139" s="38"/>
      <c r="K139" s="99"/>
      <c r="L139" s="99"/>
      <c r="M139" s="99"/>
      <c r="N139" s="99"/>
      <c r="O139" s="99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135">
        <f t="shared" si="14"/>
        <v>0</v>
      </c>
      <c r="CE139" s="28"/>
      <c r="CF139" s="28"/>
      <c r="CG139" s="20"/>
      <c r="CH139" s="27" t="str">
        <f t="shared" si="15"/>
        <v>0</v>
      </c>
    </row>
    <row r="140" spans="1:86" ht="50.45" customHeight="1" x14ac:dyDescent="0.25">
      <c r="A140" s="63">
        <v>6</v>
      </c>
      <c r="B140" s="138" t="s">
        <v>369</v>
      </c>
      <c r="C140" s="134" t="s">
        <v>370</v>
      </c>
      <c r="D140" s="134">
        <v>9865256149</v>
      </c>
      <c r="E140" s="134" t="s">
        <v>371</v>
      </c>
      <c r="F140" s="134"/>
      <c r="G140" s="134" t="s">
        <v>226</v>
      </c>
      <c r="H140" s="134" t="s">
        <v>15</v>
      </c>
      <c r="I140" s="134">
        <v>560</v>
      </c>
      <c r="J140" s="4"/>
      <c r="K140" s="31"/>
      <c r="L140" s="31"/>
      <c r="M140" s="31"/>
      <c r="N140" s="31"/>
      <c r="O140" s="31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135">
        <f t="shared" si="14"/>
        <v>0</v>
      </c>
      <c r="CE140" s="28"/>
      <c r="CF140" s="28"/>
      <c r="CG140" s="20"/>
      <c r="CH140" s="27" t="str">
        <f t="shared" si="15"/>
        <v>0</v>
      </c>
    </row>
    <row r="141" spans="1:86" ht="50.45" customHeight="1" x14ac:dyDescent="0.25">
      <c r="A141" s="187">
        <v>10</v>
      </c>
      <c r="B141" s="138" t="s">
        <v>369</v>
      </c>
      <c r="C141" s="134" t="s">
        <v>523</v>
      </c>
      <c r="D141" s="134">
        <v>9566239282</v>
      </c>
      <c r="E141" s="134"/>
      <c r="F141" s="134"/>
      <c r="G141" s="134" t="s">
        <v>226</v>
      </c>
      <c r="H141" s="134" t="s">
        <v>15</v>
      </c>
      <c r="I141" s="134">
        <v>560</v>
      </c>
      <c r="J141" s="38"/>
      <c r="K141" s="99"/>
      <c r="L141" s="99"/>
      <c r="M141" s="99"/>
      <c r="N141" s="99"/>
      <c r="O141" s="99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135">
        <f t="shared" si="14"/>
        <v>0</v>
      </c>
      <c r="CE141" s="28"/>
      <c r="CF141" s="28"/>
      <c r="CG141" s="20"/>
      <c r="CH141" s="27" t="str">
        <f t="shared" si="15"/>
        <v>0</v>
      </c>
    </row>
    <row r="142" spans="1:86" ht="50.45" customHeight="1" x14ac:dyDescent="0.25">
      <c r="A142" s="63">
        <v>12</v>
      </c>
      <c r="B142" s="138" t="s">
        <v>250</v>
      </c>
      <c r="C142" s="134" t="s">
        <v>308</v>
      </c>
      <c r="D142" s="134"/>
      <c r="E142" s="134"/>
      <c r="F142" s="134" t="s">
        <v>252</v>
      </c>
      <c r="G142" s="134" t="s">
        <v>226</v>
      </c>
      <c r="H142" s="134" t="s">
        <v>15</v>
      </c>
      <c r="I142" s="134">
        <v>1050</v>
      </c>
      <c r="J142" s="4"/>
      <c r="K142" s="31"/>
      <c r="L142" s="31"/>
      <c r="M142" s="2"/>
      <c r="N142" s="31"/>
      <c r="O142" s="31"/>
      <c r="P142" s="38"/>
      <c r="Q142" s="38"/>
      <c r="R142" s="38"/>
      <c r="S142" s="14"/>
      <c r="T142" s="38"/>
      <c r="U142" s="38"/>
      <c r="V142" s="14"/>
      <c r="W142" s="38"/>
      <c r="X142" s="38"/>
      <c r="Y142" s="14"/>
      <c r="Z142" s="38"/>
      <c r="AA142" s="38"/>
      <c r="AB142" s="38"/>
      <c r="AC142" s="38"/>
      <c r="AD142" s="38"/>
      <c r="AE142" s="2"/>
      <c r="AF142" s="5"/>
      <c r="AG142" s="5"/>
      <c r="AH142" s="14"/>
      <c r="AI142" s="5"/>
      <c r="AJ142" s="5"/>
      <c r="AK142" s="14"/>
      <c r="AL142" s="5"/>
      <c r="AM142" s="5"/>
      <c r="AN142" s="5"/>
      <c r="AO142" s="5"/>
      <c r="AP142" s="5"/>
      <c r="AQ142" s="5"/>
      <c r="AR142" s="5"/>
      <c r="AS142" s="5"/>
      <c r="AT142" s="2"/>
      <c r="AU142" s="5"/>
      <c r="AV142" s="5"/>
      <c r="AW142" s="5"/>
      <c r="AX142" s="5"/>
      <c r="AY142" s="5"/>
      <c r="AZ142" s="2"/>
      <c r="BA142" s="5"/>
      <c r="BB142" s="5"/>
      <c r="BC142" s="2"/>
      <c r="BD142" s="5"/>
      <c r="BE142" s="5"/>
      <c r="BF142" s="14"/>
      <c r="BG142" s="5"/>
      <c r="BH142" s="5"/>
      <c r="BI142" s="5"/>
      <c r="BJ142" s="5"/>
      <c r="BK142" s="5"/>
      <c r="BL142" s="43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135">
        <f t="shared" si="14"/>
        <v>0</v>
      </c>
      <c r="CE142" s="28"/>
      <c r="CF142" s="28"/>
      <c r="CG142" s="20"/>
      <c r="CH142" s="27" t="str">
        <f t="shared" si="15"/>
        <v>0</v>
      </c>
    </row>
    <row r="143" spans="1:86" ht="50.45" customHeight="1" x14ac:dyDescent="0.25">
      <c r="A143" s="133">
        <v>14</v>
      </c>
      <c r="B143" s="138" t="s">
        <v>250</v>
      </c>
      <c r="C143" s="134" t="s">
        <v>487</v>
      </c>
      <c r="D143" s="134">
        <v>9487157801</v>
      </c>
      <c r="E143" s="134" t="s">
        <v>483</v>
      </c>
      <c r="F143" s="134" t="s">
        <v>252</v>
      </c>
      <c r="G143" s="134" t="s">
        <v>226</v>
      </c>
      <c r="H143" s="134" t="s">
        <v>15</v>
      </c>
      <c r="I143" s="134">
        <v>1050</v>
      </c>
      <c r="J143" s="38"/>
      <c r="K143" s="99"/>
      <c r="L143" s="99"/>
      <c r="M143" s="99"/>
      <c r="N143" s="99"/>
      <c r="O143" s="99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135">
        <f t="shared" si="14"/>
        <v>0</v>
      </c>
      <c r="CE143" s="28"/>
      <c r="CF143" s="28"/>
      <c r="CG143" s="20"/>
      <c r="CH143" s="27" t="str">
        <f t="shared" si="15"/>
        <v>0</v>
      </c>
    </row>
    <row r="144" spans="1:86" ht="50.45" customHeight="1" x14ac:dyDescent="0.25">
      <c r="A144" s="137">
        <v>15</v>
      </c>
      <c r="B144" s="138" t="s">
        <v>250</v>
      </c>
      <c r="C144" s="134" t="s">
        <v>487</v>
      </c>
      <c r="D144" s="134">
        <v>9487157801</v>
      </c>
      <c r="E144" s="134" t="s">
        <v>483</v>
      </c>
      <c r="F144" s="134" t="s">
        <v>252</v>
      </c>
      <c r="G144" s="134" t="s">
        <v>226</v>
      </c>
      <c r="H144" s="134" t="s">
        <v>15</v>
      </c>
      <c r="I144" s="134">
        <v>1050</v>
      </c>
      <c r="J144" s="38"/>
      <c r="K144" s="99"/>
      <c r="L144" s="99"/>
      <c r="M144" s="99"/>
      <c r="N144" s="99"/>
      <c r="O144" s="99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135">
        <f t="shared" si="14"/>
        <v>0</v>
      </c>
      <c r="CE144" s="28"/>
      <c r="CF144" s="28"/>
      <c r="CG144" s="20"/>
      <c r="CH144" s="27" t="str">
        <f t="shared" si="15"/>
        <v>0</v>
      </c>
    </row>
    <row r="145" spans="1:86" ht="50.45" customHeight="1" x14ac:dyDescent="0.25">
      <c r="A145" s="63">
        <v>17</v>
      </c>
      <c r="B145" s="138" t="s">
        <v>460</v>
      </c>
      <c r="C145" s="134" t="s">
        <v>461</v>
      </c>
      <c r="D145" s="134">
        <v>7373791029</v>
      </c>
      <c r="E145" s="134" t="s">
        <v>462</v>
      </c>
      <c r="F145" s="134"/>
      <c r="G145" s="134" t="s">
        <v>226</v>
      </c>
      <c r="H145" s="134" t="s">
        <v>15</v>
      </c>
      <c r="I145" s="134">
        <v>3000</v>
      </c>
      <c r="J145" s="4"/>
      <c r="K145" s="31"/>
      <c r="L145" s="31"/>
      <c r="M145" s="31"/>
      <c r="N145" s="31"/>
      <c r="O145" s="31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135">
        <f t="shared" si="14"/>
        <v>0</v>
      </c>
      <c r="CE145" s="28"/>
      <c r="CF145" s="28"/>
      <c r="CG145" s="20"/>
      <c r="CH145" s="27" t="str">
        <f t="shared" si="15"/>
        <v>0</v>
      </c>
    </row>
    <row r="146" spans="1:86" ht="50.45" customHeight="1" x14ac:dyDescent="0.25">
      <c r="A146" s="137">
        <v>30</v>
      </c>
      <c r="B146" s="138" t="s">
        <v>302</v>
      </c>
      <c r="C146" s="134" t="s">
        <v>448</v>
      </c>
      <c r="D146" s="134" t="s">
        <v>449</v>
      </c>
      <c r="E146" s="134" t="s">
        <v>450</v>
      </c>
      <c r="F146" s="134" t="s">
        <v>304</v>
      </c>
      <c r="G146" s="134" t="s">
        <v>226</v>
      </c>
      <c r="H146" s="134" t="s">
        <v>15</v>
      </c>
      <c r="I146" s="134">
        <v>1000</v>
      </c>
      <c r="J146" s="4"/>
      <c r="K146" s="31"/>
      <c r="L146" s="31"/>
      <c r="M146" s="31"/>
      <c r="N146" s="31"/>
      <c r="O146" s="31"/>
      <c r="P146" s="14"/>
      <c r="Q146" s="14"/>
      <c r="R146" s="14"/>
      <c r="S146" s="14"/>
      <c r="T146" s="14"/>
      <c r="U146" s="14"/>
      <c r="V146" s="38"/>
      <c r="W146" s="38"/>
      <c r="X146" s="38"/>
      <c r="Y146" s="38"/>
      <c r="Z146" s="38"/>
      <c r="AA146" s="38"/>
      <c r="AB146" s="2"/>
      <c r="AC146" s="2"/>
      <c r="AD146" s="2"/>
      <c r="AE146" s="2"/>
      <c r="AF146" s="2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135">
        <f t="shared" si="14"/>
        <v>0</v>
      </c>
      <c r="CE146" s="28"/>
      <c r="CF146" s="28"/>
      <c r="CG146" s="20"/>
      <c r="CH146" s="27" t="str">
        <f t="shared" si="15"/>
        <v>0</v>
      </c>
    </row>
    <row r="147" spans="1:86" ht="50.45" customHeight="1" x14ac:dyDescent="0.25">
      <c r="A147" s="137">
        <v>35</v>
      </c>
      <c r="B147" s="138" t="s">
        <v>376</v>
      </c>
      <c r="C147" s="134" t="s">
        <v>377</v>
      </c>
      <c r="D147" s="134">
        <v>9443302526</v>
      </c>
      <c r="E147" s="134" t="s">
        <v>378</v>
      </c>
      <c r="F147" s="134" t="s">
        <v>379</v>
      </c>
      <c r="G147" s="134" t="s">
        <v>226</v>
      </c>
      <c r="H147" s="134" t="s">
        <v>15</v>
      </c>
      <c r="I147" s="134">
        <v>530</v>
      </c>
      <c r="J147" s="4"/>
      <c r="K147" s="31"/>
      <c r="L147" s="31"/>
      <c r="M147" s="31"/>
      <c r="N147" s="31"/>
      <c r="O147" s="31"/>
      <c r="P147" s="38"/>
      <c r="Q147" s="38"/>
      <c r="R147" s="38"/>
      <c r="S147" s="38"/>
      <c r="T147" s="38"/>
      <c r="U147" s="38"/>
      <c r="V147" s="2"/>
      <c r="W147" s="2"/>
      <c r="X147" s="2"/>
      <c r="Y147" s="2"/>
      <c r="Z147" s="2"/>
      <c r="AA147" s="2"/>
      <c r="AB147" s="38"/>
      <c r="AC147" s="38"/>
      <c r="AD147" s="38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135">
        <f t="shared" si="14"/>
        <v>0</v>
      </c>
      <c r="CE147" s="28"/>
      <c r="CF147" s="28"/>
      <c r="CG147" s="20"/>
      <c r="CH147" s="27" t="str">
        <f t="shared" si="15"/>
        <v>0</v>
      </c>
    </row>
    <row r="148" spans="1:86" ht="50.45" customHeight="1" x14ac:dyDescent="0.25">
      <c r="A148" s="133">
        <v>44</v>
      </c>
      <c r="B148" s="138" t="s">
        <v>434</v>
      </c>
      <c r="C148" s="134" t="s">
        <v>435</v>
      </c>
      <c r="D148" s="134">
        <v>848937685</v>
      </c>
      <c r="E148" s="134" t="s">
        <v>436</v>
      </c>
      <c r="F148" s="134" t="s">
        <v>437</v>
      </c>
      <c r="G148" s="134" t="s">
        <v>226</v>
      </c>
      <c r="H148" s="134" t="s">
        <v>15</v>
      </c>
      <c r="I148" s="134">
        <v>625</v>
      </c>
      <c r="J148" s="4"/>
      <c r="K148" s="31"/>
      <c r="L148" s="31"/>
      <c r="M148" s="31"/>
      <c r="N148" s="31"/>
      <c r="O148" s="31"/>
      <c r="P148" s="38"/>
      <c r="Q148" s="38"/>
      <c r="R148" s="38"/>
      <c r="S148" s="38"/>
      <c r="T148" s="38"/>
      <c r="U148" s="38"/>
      <c r="V148" s="2"/>
      <c r="W148" s="2"/>
      <c r="X148" s="2"/>
      <c r="Y148" s="2"/>
      <c r="Z148" s="2"/>
      <c r="AA148" s="2"/>
      <c r="AB148" s="38"/>
      <c r="AC148" s="38"/>
      <c r="AD148" s="38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135">
        <f t="shared" si="14"/>
        <v>0</v>
      </c>
      <c r="CE148" s="28"/>
      <c r="CF148" s="28"/>
      <c r="CG148" s="20"/>
      <c r="CH148" s="27" t="str">
        <f t="shared" si="15"/>
        <v>0</v>
      </c>
    </row>
    <row r="149" spans="1:86" ht="50.45" customHeight="1" x14ac:dyDescent="0.25">
      <c r="A149" s="63">
        <v>48</v>
      </c>
      <c r="B149" s="138" t="s">
        <v>231</v>
      </c>
      <c r="C149" s="134" t="s">
        <v>503</v>
      </c>
      <c r="D149" s="134">
        <v>9894008886</v>
      </c>
      <c r="E149" s="134" t="s">
        <v>504</v>
      </c>
      <c r="F149" s="134" t="s">
        <v>233</v>
      </c>
      <c r="G149" s="134" t="s">
        <v>226</v>
      </c>
      <c r="H149" s="134" t="s">
        <v>15</v>
      </c>
      <c r="I149" s="134">
        <v>1500</v>
      </c>
      <c r="J149" s="38"/>
      <c r="K149" s="99"/>
      <c r="L149" s="99"/>
      <c r="M149" s="99"/>
      <c r="N149" s="99"/>
      <c r="O149" s="99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135">
        <f t="shared" si="14"/>
        <v>0</v>
      </c>
      <c r="CE149" s="28"/>
      <c r="CF149" s="28"/>
      <c r="CG149" s="20"/>
      <c r="CH149" s="27" t="str">
        <f t="shared" si="15"/>
        <v>0</v>
      </c>
    </row>
    <row r="150" spans="1:86" ht="50.45" customHeight="1" x14ac:dyDescent="0.25">
      <c r="A150" s="133">
        <v>49</v>
      </c>
      <c r="B150" s="138" t="s">
        <v>231</v>
      </c>
      <c r="C150" s="134" t="s">
        <v>503</v>
      </c>
      <c r="D150" s="134">
        <v>9894008886</v>
      </c>
      <c r="E150" s="134" t="s">
        <v>504</v>
      </c>
      <c r="F150" s="134" t="s">
        <v>233</v>
      </c>
      <c r="G150" s="134" t="s">
        <v>226</v>
      </c>
      <c r="H150" s="134" t="s">
        <v>15</v>
      </c>
      <c r="I150" s="134">
        <v>1500</v>
      </c>
      <c r="J150" s="38"/>
      <c r="K150" s="99"/>
      <c r="L150" s="99"/>
      <c r="M150" s="99"/>
      <c r="N150" s="99"/>
      <c r="O150" s="99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135">
        <f t="shared" si="14"/>
        <v>0</v>
      </c>
      <c r="CE150" s="28"/>
      <c r="CF150" s="28"/>
      <c r="CG150" s="20"/>
      <c r="CH150" s="27" t="str">
        <f t="shared" si="15"/>
        <v>0</v>
      </c>
    </row>
    <row r="151" spans="1:86" ht="50.45" customHeight="1" x14ac:dyDescent="0.25">
      <c r="A151" s="63">
        <v>64</v>
      </c>
      <c r="B151" s="138" t="s">
        <v>278</v>
      </c>
      <c r="C151" s="134" t="s">
        <v>279</v>
      </c>
      <c r="D151" s="134" t="s">
        <v>280</v>
      </c>
      <c r="E151" s="134" t="s">
        <v>281</v>
      </c>
      <c r="F151" s="134" t="s">
        <v>282</v>
      </c>
      <c r="G151" s="134" t="s">
        <v>226</v>
      </c>
      <c r="H151" s="134" t="s">
        <v>30</v>
      </c>
      <c r="I151" s="134">
        <v>1500</v>
      </c>
      <c r="J151" s="4"/>
      <c r="K151" s="31"/>
      <c r="L151" s="31"/>
      <c r="M151" s="2"/>
      <c r="N151" s="31"/>
      <c r="O151" s="31"/>
      <c r="P151" s="14"/>
      <c r="Q151" s="14"/>
      <c r="R151" s="14"/>
      <c r="S151" s="14"/>
      <c r="T151" s="14"/>
      <c r="U151" s="38"/>
      <c r="V151" s="14"/>
      <c r="W151" s="38"/>
      <c r="X151" s="38"/>
      <c r="Y151" s="14"/>
      <c r="Z151" s="38"/>
      <c r="AA151" s="38"/>
      <c r="AB151" s="38"/>
      <c r="AC151" s="38"/>
      <c r="AD151" s="38"/>
      <c r="AE151" s="2"/>
      <c r="AF151" s="5"/>
      <c r="AG151" s="5"/>
      <c r="AH151" s="14"/>
      <c r="AI151" s="5"/>
      <c r="AJ151" s="5"/>
      <c r="AK151" s="14"/>
      <c r="AL151" s="5"/>
      <c r="AM151" s="5"/>
      <c r="AN151" s="5"/>
      <c r="AO151" s="5"/>
      <c r="AP151" s="5"/>
      <c r="AQ151" s="5"/>
      <c r="AR151" s="5"/>
      <c r="AS151" s="5"/>
      <c r="AT151" s="2"/>
      <c r="AU151" s="5"/>
      <c r="AV151" s="5"/>
      <c r="AW151" s="5"/>
      <c r="AX151" s="5"/>
      <c r="AY151" s="5"/>
      <c r="AZ151" s="2"/>
      <c r="BA151" s="5"/>
      <c r="BB151" s="5"/>
      <c r="BC151" s="2"/>
      <c r="BD151" s="5"/>
      <c r="BE151" s="5"/>
      <c r="BF151" s="14"/>
      <c r="BG151" s="5"/>
      <c r="BH151" s="5"/>
      <c r="BI151" s="5"/>
      <c r="BJ151" s="5"/>
      <c r="BK151" s="5"/>
      <c r="BL151" s="43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135">
        <f t="shared" si="14"/>
        <v>0</v>
      </c>
      <c r="CE151" s="28"/>
      <c r="CF151" s="28"/>
      <c r="CG151" s="20"/>
      <c r="CH151" s="27" t="str">
        <f t="shared" si="15"/>
        <v>0</v>
      </c>
    </row>
    <row r="152" spans="1:86" ht="50.45" customHeight="1" x14ac:dyDescent="0.25">
      <c r="A152" s="63">
        <v>71</v>
      </c>
      <c r="B152" s="138" t="s">
        <v>474</v>
      </c>
      <c r="C152" s="134" t="s">
        <v>475</v>
      </c>
      <c r="D152" s="134" t="s">
        <v>476</v>
      </c>
      <c r="E152" s="134" t="s">
        <v>477</v>
      </c>
      <c r="F152" s="134"/>
      <c r="G152" s="134" t="s">
        <v>226</v>
      </c>
      <c r="H152" s="134" t="s">
        <v>30</v>
      </c>
      <c r="I152" s="134">
        <v>605</v>
      </c>
      <c r="J152" s="38"/>
      <c r="K152" s="99"/>
      <c r="L152" s="99"/>
      <c r="M152" s="99"/>
      <c r="N152" s="99"/>
      <c r="O152" s="99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135">
        <f t="shared" si="14"/>
        <v>0</v>
      </c>
      <c r="CE152" s="28"/>
      <c r="CF152" s="28"/>
      <c r="CG152" s="20"/>
      <c r="CH152" s="27" t="str">
        <f t="shared" si="15"/>
        <v>0</v>
      </c>
    </row>
    <row r="153" spans="1:86" ht="50.45" customHeight="1" x14ac:dyDescent="0.25">
      <c r="A153" s="63">
        <v>78</v>
      </c>
      <c r="B153" s="138" t="s">
        <v>292</v>
      </c>
      <c r="C153" s="134" t="s">
        <v>297</v>
      </c>
      <c r="D153" s="134" t="s">
        <v>298</v>
      </c>
      <c r="E153" s="134" t="s">
        <v>295</v>
      </c>
      <c r="F153" s="134" t="s">
        <v>296</v>
      </c>
      <c r="G153" s="134" t="s">
        <v>226</v>
      </c>
      <c r="H153" s="134" t="s">
        <v>30</v>
      </c>
      <c r="I153" s="134">
        <v>2010</v>
      </c>
      <c r="J153" s="4"/>
      <c r="K153" s="31"/>
      <c r="L153" s="31"/>
      <c r="M153" s="2"/>
      <c r="N153" s="31"/>
      <c r="O153" s="31"/>
      <c r="P153" s="38"/>
      <c r="Q153" s="38"/>
      <c r="R153" s="38"/>
      <c r="S153" s="14"/>
      <c r="T153" s="38"/>
      <c r="U153" s="38"/>
      <c r="V153" s="14"/>
      <c r="W153" s="38"/>
      <c r="X153" s="38"/>
      <c r="Y153" s="14"/>
      <c r="Z153" s="38"/>
      <c r="AA153" s="38"/>
      <c r="AB153" s="38"/>
      <c r="AC153" s="38"/>
      <c r="AD153" s="38"/>
      <c r="AE153" s="2"/>
      <c r="AF153" s="5"/>
      <c r="AG153" s="5"/>
      <c r="AH153" s="14"/>
      <c r="AI153" s="5"/>
      <c r="AJ153" s="5"/>
      <c r="AK153" s="14"/>
      <c r="AL153" s="5"/>
      <c r="AM153" s="5"/>
      <c r="AN153" s="5"/>
      <c r="AO153" s="5"/>
      <c r="AP153" s="5"/>
      <c r="AQ153" s="5"/>
      <c r="AR153" s="5"/>
      <c r="AS153" s="5"/>
      <c r="AT153" s="2"/>
      <c r="AU153" s="5"/>
      <c r="AV153" s="5"/>
      <c r="AW153" s="5"/>
      <c r="AX153" s="5"/>
      <c r="AY153" s="5"/>
      <c r="AZ153" s="2"/>
      <c r="BA153" s="5"/>
      <c r="BB153" s="5"/>
      <c r="BC153" s="2"/>
      <c r="BD153" s="5"/>
      <c r="BE153" s="5"/>
      <c r="BF153" s="14"/>
      <c r="BG153" s="5"/>
      <c r="BH153" s="5"/>
      <c r="BI153" s="5"/>
      <c r="BJ153" s="5"/>
      <c r="BK153" s="5"/>
      <c r="BL153" s="43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135">
        <f t="shared" si="14"/>
        <v>0</v>
      </c>
      <c r="CE153" s="28"/>
      <c r="CF153" s="28"/>
      <c r="CG153" s="20"/>
      <c r="CH153" s="27" t="str">
        <f t="shared" si="15"/>
        <v>0</v>
      </c>
    </row>
    <row r="154" spans="1:86" ht="50.45" customHeight="1" x14ac:dyDescent="0.25">
      <c r="A154" s="63">
        <v>81</v>
      </c>
      <c r="B154" s="138" t="s">
        <v>467</v>
      </c>
      <c r="C154" s="134" t="s">
        <v>542</v>
      </c>
      <c r="D154" s="134"/>
      <c r="E154" s="134"/>
      <c r="F154" s="134" t="s">
        <v>471</v>
      </c>
      <c r="G154" s="134" t="s">
        <v>226</v>
      </c>
      <c r="H154" s="134" t="s">
        <v>30</v>
      </c>
      <c r="I154" s="134">
        <v>900</v>
      </c>
      <c r="J154" s="38"/>
      <c r="K154" s="99"/>
      <c r="L154" s="99"/>
      <c r="M154" s="99"/>
      <c r="N154" s="99"/>
      <c r="O154" s="99"/>
      <c r="P154" s="14"/>
      <c r="Q154" s="14"/>
      <c r="R154" s="14"/>
      <c r="S154" s="14"/>
      <c r="T154" s="14"/>
      <c r="U154" s="14"/>
      <c r="V154" s="38"/>
      <c r="W154" s="38"/>
      <c r="X154" s="38"/>
      <c r="Y154" s="38"/>
      <c r="Z154" s="38"/>
      <c r="AA154" s="38"/>
      <c r="AB154" s="38"/>
      <c r="AC154" s="38"/>
      <c r="AD154" s="38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135">
        <f t="shared" si="14"/>
        <v>0</v>
      </c>
      <c r="CE154" s="28"/>
      <c r="CF154" s="28"/>
      <c r="CG154" s="20"/>
      <c r="CH154" s="27" t="str">
        <f t="shared" si="15"/>
        <v>0</v>
      </c>
    </row>
    <row r="155" spans="1:86" ht="50.45" customHeight="1" x14ac:dyDescent="0.25">
      <c r="A155" s="63">
        <v>99</v>
      </c>
      <c r="B155" s="138" t="s">
        <v>427</v>
      </c>
      <c r="C155" s="134" t="s">
        <v>524</v>
      </c>
      <c r="D155" s="134"/>
      <c r="E155" s="134"/>
      <c r="F155" s="134" t="s">
        <v>430</v>
      </c>
      <c r="G155" s="134" t="s">
        <v>226</v>
      </c>
      <c r="H155" s="134" t="s">
        <v>30</v>
      </c>
      <c r="I155" s="134">
        <v>800</v>
      </c>
      <c r="J155" s="38"/>
      <c r="K155" s="99"/>
      <c r="L155" s="99"/>
      <c r="M155" s="99"/>
      <c r="N155" s="99"/>
      <c r="O155" s="99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135">
        <f t="shared" si="14"/>
        <v>0</v>
      </c>
      <c r="CE155" s="28"/>
      <c r="CF155" s="28"/>
      <c r="CG155" s="20"/>
      <c r="CH155" s="27" t="str">
        <f t="shared" si="15"/>
        <v>0</v>
      </c>
    </row>
    <row r="156" spans="1:86" ht="50.45" customHeight="1" x14ac:dyDescent="0.25">
      <c r="A156" s="63">
        <v>113</v>
      </c>
      <c r="B156" s="138" t="s">
        <v>492</v>
      </c>
      <c r="C156" s="134" t="s">
        <v>493</v>
      </c>
      <c r="D156" s="134">
        <v>9443502860</v>
      </c>
      <c r="E156" s="134" t="s">
        <v>494</v>
      </c>
      <c r="F156" s="134" t="s">
        <v>495</v>
      </c>
      <c r="G156" s="134" t="s">
        <v>226</v>
      </c>
      <c r="H156" s="134" t="s">
        <v>223</v>
      </c>
      <c r="I156" s="134">
        <v>525</v>
      </c>
      <c r="J156" s="38"/>
      <c r="K156" s="99"/>
      <c r="L156" s="99"/>
      <c r="M156" s="99"/>
      <c r="N156" s="99"/>
      <c r="O156" s="99"/>
      <c r="P156" s="38"/>
      <c r="Q156" s="38"/>
      <c r="R156" s="38"/>
      <c r="S156" s="38"/>
      <c r="T156" s="38"/>
      <c r="U156" s="38"/>
      <c r="V156" s="14"/>
      <c r="W156" s="14"/>
      <c r="X156" s="14"/>
      <c r="Y156" s="14"/>
      <c r="Z156" s="14"/>
      <c r="AA156" s="14"/>
      <c r="AB156" s="38"/>
      <c r="AC156" s="38"/>
      <c r="AD156" s="38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135">
        <f t="shared" si="14"/>
        <v>0</v>
      </c>
      <c r="CE156" s="28"/>
      <c r="CF156" s="28"/>
      <c r="CG156" s="20"/>
      <c r="CH156" s="27" t="str">
        <f t="shared" si="15"/>
        <v>0</v>
      </c>
    </row>
    <row r="157" spans="1:86" ht="50.45" customHeight="1" x14ac:dyDescent="0.25">
      <c r="A157" s="63">
        <v>114</v>
      </c>
      <c r="B157" s="138" t="s">
        <v>492</v>
      </c>
      <c r="C157" s="134" t="s">
        <v>493</v>
      </c>
      <c r="D157" s="134">
        <v>9443502860</v>
      </c>
      <c r="E157" s="134" t="s">
        <v>494</v>
      </c>
      <c r="F157" s="134" t="s">
        <v>495</v>
      </c>
      <c r="G157" s="134" t="s">
        <v>226</v>
      </c>
      <c r="H157" s="134" t="s">
        <v>223</v>
      </c>
      <c r="I157" s="134">
        <v>525</v>
      </c>
      <c r="J157" s="38"/>
      <c r="K157" s="99"/>
      <c r="L157" s="99"/>
      <c r="M157" s="99"/>
      <c r="N157" s="99"/>
      <c r="O157" s="99"/>
      <c r="P157" s="38"/>
      <c r="Q157" s="38"/>
      <c r="R157" s="38"/>
      <c r="S157" s="38"/>
      <c r="T157" s="38"/>
      <c r="U157" s="38"/>
      <c r="V157" s="14"/>
      <c r="W157" s="14"/>
      <c r="X157" s="14"/>
      <c r="Y157" s="14"/>
      <c r="Z157" s="14"/>
      <c r="AA157" s="14"/>
      <c r="AB157" s="38"/>
      <c r="AC157" s="38"/>
      <c r="AD157" s="38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135">
        <f t="shared" si="14"/>
        <v>0</v>
      </c>
      <c r="CE157" s="28"/>
      <c r="CF157" s="28"/>
      <c r="CG157" s="20"/>
      <c r="CH157" s="27" t="str">
        <f t="shared" si="15"/>
        <v>0</v>
      </c>
    </row>
  </sheetData>
  <sortState ref="B27:CG54">
    <sortCondition ref="B27"/>
  </sortState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G126"/>
  <sheetViews>
    <sheetView zoomScale="85" zoomScaleNormal="85" workbookViewId="0">
      <selection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hidden="1" customWidth="1"/>
    <col min="5" max="5" width="25.7109375" style="21" hidden="1" customWidth="1"/>
    <col min="6" max="6" width="18.28515625" style="21" hidden="1" customWidth="1"/>
    <col min="7" max="7" width="17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652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70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73" t="s">
        <v>12</v>
      </c>
      <c r="AO3" s="172" t="s">
        <v>13</v>
      </c>
      <c r="AP3" s="172" t="s">
        <v>32</v>
      </c>
      <c r="AQ3" s="172" t="s">
        <v>12</v>
      </c>
      <c r="AR3" s="172" t="s">
        <v>13</v>
      </c>
      <c r="AS3" s="171" t="s">
        <v>32</v>
      </c>
      <c r="AT3" s="58" t="s">
        <v>12</v>
      </c>
      <c r="AU3" s="102" t="s">
        <v>13</v>
      </c>
      <c r="AV3" s="49" t="s">
        <v>32</v>
      </c>
      <c r="AW3" s="173" t="s">
        <v>12</v>
      </c>
      <c r="AX3" s="172" t="s">
        <v>13</v>
      </c>
      <c r="AY3" s="171" t="s">
        <v>32</v>
      </c>
      <c r="AZ3" s="172" t="s">
        <v>12</v>
      </c>
      <c r="BA3" s="172" t="s">
        <v>13</v>
      </c>
      <c r="BB3" s="172" t="s">
        <v>32</v>
      </c>
      <c r="BC3" s="172" t="s">
        <v>12</v>
      </c>
      <c r="BD3" s="172" t="s">
        <v>13</v>
      </c>
      <c r="BE3" s="171" t="s">
        <v>32</v>
      </c>
      <c r="BF3" s="172" t="s">
        <v>12</v>
      </c>
      <c r="BG3" s="172" t="s">
        <v>13</v>
      </c>
      <c r="BH3" s="171" t="s">
        <v>32</v>
      </c>
      <c r="BI3" s="172" t="s">
        <v>12</v>
      </c>
      <c r="BJ3" s="172" t="s">
        <v>13</v>
      </c>
      <c r="BK3" s="171" t="s">
        <v>32</v>
      </c>
      <c r="BL3" s="61" t="s">
        <v>12</v>
      </c>
      <c r="BM3" s="172" t="s">
        <v>13</v>
      </c>
      <c r="BN3" s="171" t="s">
        <v>32</v>
      </c>
      <c r="BO3" s="172" t="s">
        <v>12</v>
      </c>
      <c r="BP3" s="172" t="s">
        <v>13</v>
      </c>
      <c r="BQ3" s="171" t="s">
        <v>32</v>
      </c>
      <c r="BR3" s="172" t="s">
        <v>12</v>
      </c>
      <c r="BS3" s="172" t="s">
        <v>13</v>
      </c>
      <c r="BT3" s="171" t="s">
        <v>32</v>
      </c>
      <c r="BU3" s="172" t="s">
        <v>12</v>
      </c>
      <c r="BV3" s="172" t="s">
        <v>13</v>
      </c>
      <c r="BW3" s="171" t="s">
        <v>32</v>
      </c>
      <c r="BX3" s="172" t="s">
        <v>12</v>
      </c>
      <c r="BY3" s="172" t="s">
        <v>13</v>
      </c>
      <c r="BZ3" s="171" t="s">
        <v>32</v>
      </c>
      <c r="CA3" s="172" t="s">
        <v>12</v>
      </c>
      <c r="CB3" s="172" t="s">
        <v>13</v>
      </c>
      <c r="CC3" s="171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63">
        <f>ROW()-3</f>
        <v>1</v>
      </c>
      <c r="B4" s="138" t="s">
        <v>653</v>
      </c>
      <c r="C4" s="134"/>
      <c r="D4" s="134"/>
      <c r="E4" s="134"/>
      <c r="F4" s="134" t="s">
        <v>225</v>
      </c>
      <c r="G4" s="134" t="s">
        <v>654</v>
      </c>
      <c r="H4" s="134" t="s">
        <v>15</v>
      </c>
      <c r="I4" s="134"/>
      <c r="J4" s="181"/>
      <c r="K4" s="180"/>
      <c r="L4" s="209"/>
      <c r="M4" s="181"/>
      <c r="N4" s="209"/>
      <c r="O4" s="209"/>
      <c r="P4" s="181"/>
      <c r="Q4" s="181"/>
      <c r="R4" s="210"/>
      <c r="S4" s="181"/>
      <c r="T4" s="210"/>
      <c r="U4" s="210"/>
      <c r="V4" s="180"/>
      <c r="W4" s="180"/>
      <c r="X4" s="180"/>
      <c r="Y4" s="181"/>
      <c r="Z4" s="180" t="s">
        <v>31</v>
      </c>
      <c r="AA4" s="180"/>
      <c r="AB4" s="180" t="s">
        <v>31</v>
      </c>
      <c r="AC4" s="210"/>
      <c r="AD4" s="210"/>
      <c r="AE4" s="181"/>
      <c r="AF4" s="210"/>
      <c r="AG4" s="210"/>
      <c r="AH4" s="180" t="s">
        <v>31</v>
      </c>
      <c r="AI4" s="180"/>
      <c r="AJ4" s="180"/>
      <c r="AK4" s="181"/>
      <c r="AL4" s="180"/>
      <c r="AM4" s="210"/>
      <c r="AN4" s="181" t="s">
        <v>31</v>
      </c>
      <c r="AO4" s="210"/>
      <c r="AP4" s="210"/>
      <c r="AQ4" s="209"/>
      <c r="AR4" s="210"/>
      <c r="AS4" s="5"/>
      <c r="AT4" s="14"/>
      <c r="AU4" s="5"/>
      <c r="AV4" s="5"/>
      <c r="AW4" s="5"/>
      <c r="AX4" s="5"/>
      <c r="AY4" s="5"/>
      <c r="AZ4" s="2"/>
      <c r="BA4" s="5"/>
      <c r="BB4" s="5"/>
      <c r="BC4" s="5"/>
      <c r="BD4" s="2"/>
      <c r="BE4" s="5"/>
      <c r="BF4" s="14"/>
      <c r="BG4" s="5"/>
      <c r="BH4" s="5"/>
      <c r="BI4" s="14"/>
      <c r="BJ4" s="5"/>
      <c r="BK4" s="5"/>
      <c r="BL4" s="2"/>
      <c r="BM4" s="5"/>
      <c r="BN4" s="5"/>
      <c r="BO4" s="14"/>
      <c r="BP4" s="5"/>
      <c r="BQ4" s="5"/>
      <c r="BR4" s="2"/>
      <c r="BS4" s="5"/>
      <c r="BT4" s="5"/>
      <c r="BU4" s="5"/>
      <c r="BV4" s="5"/>
      <c r="BW4" s="5"/>
      <c r="BX4" s="14"/>
      <c r="BY4" s="5"/>
      <c r="BZ4" s="5"/>
      <c r="CA4" s="2"/>
      <c r="CB4" s="5"/>
      <c r="CC4" s="5"/>
      <c r="CD4" s="135">
        <f t="shared" ref="CD4:CD9" si="0">COUNTA(J4:CC4)</f>
        <v>4</v>
      </c>
      <c r="CE4" s="28" t="s">
        <v>812</v>
      </c>
      <c r="CF4" s="28" t="s">
        <v>663</v>
      </c>
      <c r="CG4" s="20" t="s">
        <v>813</v>
      </c>
      <c r="CH4" s="27" t="str">
        <f t="shared" ref="CH4:CH9" si="1">IF(CD4&lt;=0,"0",IF(CD4=1,"1",IF(CD4=2,"2",IF(CD4=3,"3",IF(CD4&gt;=4,"4")))))</f>
        <v>4</v>
      </c>
    </row>
    <row r="5" spans="1:111" ht="50.45" customHeight="1" x14ac:dyDescent="0.25">
      <c r="A5" s="63">
        <f t="shared" ref="A5:A40" si="2">ROW()-3</f>
        <v>2</v>
      </c>
      <c r="B5" s="299" t="s">
        <v>731</v>
      </c>
      <c r="C5" s="134" t="s">
        <v>732</v>
      </c>
      <c r="D5" s="13"/>
      <c r="E5" s="134">
        <v>1000</v>
      </c>
      <c r="F5" s="134"/>
      <c r="G5" s="134" t="s">
        <v>680</v>
      </c>
      <c r="H5" s="134" t="s">
        <v>15</v>
      </c>
      <c r="I5" s="134"/>
      <c r="J5" s="181"/>
      <c r="K5" s="180"/>
      <c r="L5" s="209"/>
      <c r="M5" s="181"/>
      <c r="N5" s="209"/>
      <c r="O5" s="209"/>
      <c r="P5" s="181"/>
      <c r="Q5" s="181"/>
      <c r="R5" s="210"/>
      <c r="S5" s="181"/>
      <c r="T5" s="210"/>
      <c r="U5" s="210"/>
      <c r="V5" s="180"/>
      <c r="W5" s="180"/>
      <c r="X5" s="180"/>
      <c r="Y5" s="181"/>
      <c r="Z5" s="180"/>
      <c r="AA5" s="180"/>
      <c r="AB5" s="180"/>
      <c r="AC5" s="210"/>
      <c r="AD5" s="210"/>
      <c r="AE5" s="181"/>
      <c r="AF5" s="210"/>
      <c r="AG5" s="210"/>
      <c r="AH5" s="180" t="s">
        <v>31</v>
      </c>
      <c r="AI5" s="180"/>
      <c r="AJ5" s="180"/>
      <c r="AK5" s="181"/>
      <c r="AL5" s="180"/>
      <c r="AM5" s="210"/>
      <c r="AN5" s="181"/>
      <c r="AO5" s="210"/>
      <c r="AP5" s="210"/>
      <c r="AQ5" s="209" t="s">
        <v>31</v>
      </c>
      <c r="AR5" s="210"/>
      <c r="AS5" s="5"/>
      <c r="AT5" s="14"/>
      <c r="AU5" s="5"/>
      <c r="AV5" s="5"/>
      <c r="AW5" s="5"/>
      <c r="AX5" s="5"/>
      <c r="AY5" s="5"/>
      <c r="AZ5" s="2"/>
      <c r="BA5" s="5"/>
      <c r="BB5" s="5"/>
      <c r="BC5" s="5"/>
      <c r="BD5" s="2"/>
      <c r="BE5" s="5"/>
      <c r="BF5" s="14"/>
      <c r="BG5" s="5"/>
      <c r="BH5" s="5"/>
      <c r="BI5" s="14"/>
      <c r="BJ5" s="5"/>
      <c r="BK5" s="5"/>
      <c r="BL5" s="2"/>
      <c r="BM5" s="5"/>
      <c r="BN5" s="5"/>
      <c r="BO5" s="14"/>
      <c r="BP5" s="5"/>
      <c r="BQ5" s="5"/>
      <c r="BR5" s="2"/>
      <c r="BS5" s="5"/>
      <c r="BT5" s="5"/>
      <c r="BU5" s="5"/>
      <c r="BV5" s="5"/>
      <c r="BW5" s="5"/>
      <c r="BX5" s="14"/>
      <c r="BY5" s="5"/>
      <c r="BZ5" s="5"/>
      <c r="CA5" s="2"/>
      <c r="CB5" s="5"/>
      <c r="CC5" s="5"/>
      <c r="CD5" s="135">
        <f t="shared" si="0"/>
        <v>2</v>
      </c>
      <c r="CE5" s="5" t="s">
        <v>861</v>
      </c>
      <c r="CF5" s="28" t="s">
        <v>733</v>
      </c>
      <c r="CG5" s="20" t="s">
        <v>862</v>
      </c>
      <c r="CH5" s="27" t="str">
        <f t="shared" si="1"/>
        <v>2</v>
      </c>
    </row>
    <row r="6" spans="1:111" ht="50.45" customHeight="1" x14ac:dyDescent="0.25">
      <c r="A6" s="63">
        <f t="shared" si="2"/>
        <v>3</v>
      </c>
      <c r="B6" s="138" t="s">
        <v>656</v>
      </c>
      <c r="C6" s="134"/>
      <c r="D6" s="134"/>
      <c r="E6" s="134"/>
      <c r="F6" s="134"/>
      <c r="G6" s="134" t="s">
        <v>654</v>
      </c>
      <c r="H6" s="134" t="s">
        <v>15</v>
      </c>
      <c r="I6" s="134"/>
      <c r="J6" s="210"/>
      <c r="K6" s="211"/>
      <c r="L6" s="211"/>
      <c r="M6" s="211"/>
      <c r="N6" s="211"/>
      <c r="O6" s="211"/>
      <c r="P6" s="210"/>
      <c r="Q6" s="210"/>
      <c r="R6" s="210"/>
      <c r="S6" s="210"/>
      <c r="T6" s="210"/>
      <c r="U6" s="210"/>
      <c r="V6" s="180"/>
      <c r="W6" s="180"/>
      <c r="X6" s="180"/>
      <c r="Y6" s="180"/>
      <c r="Z6" s="180" t="s">
        <v>31</v>
      </c>
      <c r="AA6" s="180"/>
      <c r="AB6" s="180" t="s">
        <v>31</v>
      </c>
      <c r="AC6" s="210"/>
      <c r="AD6" s="210"/>
      <c r="AE6" s="210"/>
      <c r="AF6" s="210"/>
      <c r="AG6" s="210"/>
      <c r="AH6" s="180" t="s">
        <v>31</v>
      </c>
      <c r="AI6" s="180"/>
      <c r="AJ6" s="180"/>
      <c r="AK6" s="180"/>
      <c r="AL6" s="180"/>
      <c r="AM6" s="210"/>
      <c r="AN6" s="180" t="s">
        <v>31</v>
      </c>
      <c r="AO6" s="210"/>
      <c r="AP6" s="210"/>
      <c r="AQ6" s="209" t="s">
        <v>31</v>
      </c>
      <c r="AR6" s="210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135">
        <f t="shared" si="0"/>
        <v>5</v>
      </c>
      <c r="CE6" s="28" t="s">
        <v>867</v>
      </c>
      <c r="CF6" s="28" t="s">
        <v>678</v>
      </c>
      <c r="CG6" s="20" t="s">
        <v>868</v>
      </c>
      <c r="CH6" s="27" t="str">
        <f t="shared" si="1"/>
        <v>4</v>
      </c>
    </row>
    <row r="7" spans="1:111" ht="50.45" customHeight="1" x14ac:dyDescent="0.25">
      <c r="A7" s="63">
        <f t="shared" si="2"/>
        <v>4</v>
      </c>
      <c r="B7" s="138" t="s">
        <v>783</v>
      </c>
      <c r="C7" s="134" t="s">
        <v>784</v>
      </c>
      <c r="D7" s="13"/>
      <c r="E7" s="134">
        <v>1050</v>
      </c>
      <c r="F7" s="134"/>
      <c r="G7" s="134" t="s">
        <v>680</v>
      </c>
      <c r="H7" s="134" t="s">
        <v>30</v>
      </c>
      <c r="I7" s="134">
        <v>1050</v>
      </c>
      <c r="J7" s="180"/>
      <c r="K7" s="209"/>
      <c r="L7" s="209"/>
      <c r="M7" s="209"/>
      <c r="N7" s="209"/>
      <c r="O7" s="209"/>
      <c r="P7" s="210"/>
      <c r="Q7" s="210"/>
      <c r="R7" s="210"/>
      <c r="S7" s="210"/>
      <c r="T7" s="210"/>
      <c r="U7" s="210"/>
      <c r="V7" s="180"/>
      <c r="W7" s="180"/>
      <c r="X7" s="180"/>
      <c r="Y7" s="180"/>
      <c r="Z7" s="180"/>
      <c r="AA7" s="180"/>
      <c r="AB7" s="210"/>
      <c r="AC7" s="210"/>
      <c r="AD7" s="210"/>
      <c r="AE7" s="210"/>
      <c r="AF7" s="210"/>
      <c r="AG7" s="210"/>
      <c r="AH7" s="180"/>
      <c r="AI7" s="180"/>
      <c r="AJ7" s="180"/>
      <c r="AK7" s="180" t="s">
        <v>31</v>
      </c>
      <c r="AL7" s="180"/>
      <c r="AM7" s="210"/>
      <c r="AN7" s="180" t="s">
        <v>31</v>
      </c>
      <c r="AO7" s="210"/>
      <c r="AP7" s="210"/>
      <c r="AQ7" s="209" t="s">
        <v>31</v>
      </c>
      <c r="AR7" s="210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135">
        <f t="shared" si="0"/>
        <v>3</v>
      </c>
      <c r="CE7" s="28" t="s">
        <v>863</v>
      </c>
      <c r="CF7" s="28"/>
      <c r="CG7" s="20" t="s">
        <v>864</v>
      </c>
      <c r="CH7" s="27" t="str">
        <f t="shared" si="1"/>
        <v>3</v>
      </c>
    </row>
    <row r="8" spans="1:111" ht="50.45" customHeight="1" x14ac:dyDescent="0.25">
      <c r="A8" s="63">
        <f t="shared" si="2"/>
        <v>5</v>
      </c>
      <c r="B8" s="138" t="s">
        <v>734</v>
      </c>
      <c r="C8" s="183"/>
      <c r="D8" s="183"/>
      <c r="E8" s="134">
        <v>700</v>
      </c>
      <c r="F8" s="134"/>
      <c r="G8" s="134" t="s">
        <v>680</v>
      </c>
      <c r="H8" s="134" t="s">
        <v>15</v>
      </c>
      <c r="I8" s="134"/>
      <c r="J8" s="180"/>
      <c r="K8" s="209"/>
      <c r="L8" s="209"/>
      <c r="M8" s="209"/>
      <c r="N8" s="209"/>
      <c r="O8" s="209"/>
      <c r="P8" s="210"/>
      <c r="Q8" s="210"/>
      <c r="R8" s="210"/>
      <c r="S8" s="210"/>
      <c r="T8" s="210"/>
      <c r="U8" s="210"/>
      <c r="V8" s="180"/>
      <c r="W8" s="180"/>
      <c r="X8" s="180"/>
      <c r="Y8" s="180"/>
      <c r="Z8" s="180"/>
      <c r="AA8" s="180"/>
      <c r="AB8" s="210"/>
      <c r="AC8" s="210"/>
      <c r="AD8" s="210"/>
      <c r="AE8" s="210"/>
      <c r="AF8" s="210"/>
      <c r="AG8" s="210"/>
      <c r="AH8" s="180" t="s">
        <v>31</v>
      </c>
      <c r="AI8" s="180"/>
      <c r="AJ8" s="180"/>
      <c r="AK8" s="180" t="s">
        <v>31</v>
      </c>
      <c r="AL8" s="180"/>
      <c r="AM8" s="210"/>
      <c r="AN8" s="180" t="s">
        <v>31</v>
      </c>
      <c r="AO8" s="210"/>
      <c r="AP8" s="210"/>
      <c r="AQ8" s="209" t="s">
        <v>31</v>
      </c>
      <c r="AR8" s="210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35">
        <f t="shared" si="0"/>
        <v>4</v>
      </c>
      <c r="CE8" s="28" t="s">
        <v>865</v>
      </c>
      <c r="CF8" s="28" t="s">
        <v>733</v>
      </c>
      <c r="CG8" s="20" t="s">
        <v>866</v>
      </c>
      <c r="CH8" s="27" t="str">
        <f t="shared" si="1"/>
        <v>4</v>
      </c>
    </row>
    <row r="9" spans="1:111" ht="50.45" customHeight="1" x14ac:dyDescent="0.25">
      <c r="A9" s="63">
        <f t="shared" si="2"/>
        <v>6</v>
      </c>
      <c r="B9" s="138" t="s">
        <v>679</v>
      </c>
      <c r="C9" s="139" t="s">
        <v>681</v>
      </c>
      <c r="D9" s="13"/>
      <c r="E9" s="139">
        <v>1500</v>
      </c>
      <c r="F9" s="139"/>
      <c r="G9" s="134" t="s">
        <v>680</v>
      </c>
      <c r="H9" s="134" t="s">
        <v>15</v>
      </c>
      <c r="I9" s="134"/>
      <c r="J9" s="180"/>
      <c r="K9" s="209"/>
      <c r="L9" s="209"/>
      <c r="M9" s="209"/>
      <c r="N9" s="209"/>
      <c r="O9" s="209"/>
      <c r="P9" s="210"/>
      <c r="Q9" s="210"/>
      <c r="R9" s="210"/>
      <c r="S9" s="210"/>
      <c r="T9" s="210"/>
      <c r="U9" s="210"/>
      <c r="V9" s="180"/>
      <c r="W9" s="180"/>
      <c r="X9" s="180"/>
      <c r="Y9" s="180"/>
      <c r="Z9" s="180"/>
      <c r="AA9" s="180"/>
      <c r="AB9" s="180" t="s">
        <v>31</v>
      </c>
      <c r="AC9" s="210"/>
      <c r="AD9" s="210"/>
      <c r="AE9" s="210"/>
      <c r="AF9" s="210"/>
      <c r="AG9" s="210"/>
      <c r="AH9" s="180"/>
      <c r="AI9" s="180"/>
      <c r="AJ9" s="180"/>
      <c r="AK9" s="180"/>
      <c r="AL9" s="180"/>
      <c r="AM9" s="210"/>
      <c r="AN9" s="180" t="s">
        <v>31</v>
      </c>
      <c r="AO9" s="210"/>
      <c r="AP9" s="210"/>
      <c r="AQ9" s="210"/>
      <c r="AR9" s="210"/>
      <c r="AS9" s="5"/>
      <c r="AT9" s="5"/>
      <c r="AU9" s="209" t="s">
        <v>31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135">
        <f t="shared" si="0"/>
        <v>3</v>
      </c>
      <c r="CE9" s="28" t="s">
        <v>901</v>
      </c>
      <c r="CF9" s="28" t="s">
        <v>682</v>
      </c>
      <c r="CG9" s="20" t="s">
        <v>902</v>
      </c>
      <c r="CH9" s="27" t="str">
        <f t="shared" si="1"/>
        <v>3</v>
      </c>
    </row>
    <row r="10" spans="1:111" ht="50.45" customHeight="1" x14ac:dyDescent="0.25">
      <c r="A10" s="63"/>
      <c r="B10" s="138"/>
      <c r="C10" s="134"/>
      <c r="D10" s="134"/>
      <c r="E10" s="134"/>
      <c r="F10" s="134"/>
      <c r="G10" s="134"/>
      <c r="H10" s="134"/>
      <c r="I10" s="134"/>
      <c r="J10" s="38"/>
      <c r="K10" s="99"/>
      <c r="L10" s="99"/>
      <c r="M10" s="99"/>
      <c r="N10" s="99"/>
      <c r="O10" s="9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135"/>
      <c r="CE10" s="28"/>
      <c r="CF10" s="28"/>
      <c r="CG10" s="20"/>
      <c r="CH10" s="27"/>
    </row>
    <row r="11" spans="1:111" ht="50.45" customHeight="1" x14ac:dyDescent="0.25">
      <c r="A11" s="63"/>
      <c r="B11" s="138"/>
      <c r="C11" s="134"/>
      <c r="D11" s="134"/>
      <c r="E11" s="134"/>
      <c r="F11" s="134"/>
      <c r="G11" s="134"/>
      <c r="H11" s="134"/>
      <c r="I11" s="134"/>
      <c r="J11" s="2"/>
      <c r="K11" s="32"/>
      <c r="L11" s="32"/>
      <c r="M11" s="2"/>
      <c r="N11" s="2"/>
      <c r="O11" s="32"/>
      <c r="P11" s="2"/>
      <c r="Q11" s="2"/>
      <c r="R11" s="136"/>
      <c r="S11" s="2"/>
      <c r="T11" s="40"/>
      <c r="U11" s="40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6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35"/>
      <c r="CE11" s="28"/>
      <c r="CF11" s="28"/>
      <c r="CG11" s="20"/>
      <c r="CH11" s="27"/>
    </row>
    <row r="12" spans="1:111" ht="50.45" customHeight="1" x14ac:dyDescent="0.25">
      <c r="A12" s="63"/>
      <c r="B12" s="138"/>
      <c r="C12" s="134"/>
      <c r="D12" s="134"/>
      <c r="E12" s="134"/>
      <c r="F12" s="134"/>
      <c r="G12" s="134"/>
      <c r="H12" s="134"/>
      <c r="I12" s="134"/>
      <c r="J12" s="2"/>
      <c r="K12" s="32"/>
      <c r="L12" s="32"/>
      <c r="M12" s="2"/>
      <c r="N12" s="2"/>
      <c r="O12" s="32"/>
      <c r="P12" s="2"/>
      <c r="Q12" s="2"/>
      <c r="R12" s="2"/>
      <c r="S12" s="40"/>
      <c r="T12" s="40"/>
      <c r="U12" s="40"/>
      <c r="V12" s="2"/>
      <c r="W12" s="2"/>
      <c r="X12" s="2"/>
      <c r="Y12" s="2"/>
      <c r="Z12" s="2"/>
      <c r="AA12" s="2"/>
      <c r="AB12" s="14"/>
      <c r="AC12" s="5"/>
      <c r="AD12" s="5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35"/>
      <c r="CE12" s="28"/>
      <c r="CF12" s="28"/>
      <c r="CG12" s="20"/>
      <c r="CH12" s="27"/>
    </row>
    <row r="13" spans="1:111" ht="50.45" customHeight="1" x14ac:dyDescent="0.25">
      <c r="A13" s="133"/>
      <c r="B13" s="138"/>
      <c r="C13" s="134"/>
      <c r="D13" s="134"/>
      <c r="E13" s="134"/>
      <c r="F13" s="134"/>
      <c r="G13" s="134"/>
      <c r="H13" s="134"/>
      <c r="I13" s="134"/>
      <c r="J13" s="4"/>
      <c r="K13" s="31"/>
      <c r="L13" s="31"/>
      <c r="M13" s="2"/>
      <c r="N13" s="31"/>
      <c r="O13" s="31"/>
      <c r="P13" s="38"/>
      <c r="Q13" s="38"/>
      <c r="R13" s="38"/>
      <c r="S13" s="14"/>
      <c r="T13" s="38"/>
      <c r="U13" s="38"/>
      <c r="V13" s="14"/>
      <c r="W13" s="38"/>
      <c r="X13" s="38"/>
      <c r="Y13" s="14"/>
      <c r="Z13" s="38"/>
      <c r="AA13" s="38"/>
      <c r="AB13" s="38"/>
      <c r="AC13" s="38"/>
      <c r="AD13" s="38"/>
      <c r="AE13" s="2"/>
      <c r="AF13" s="5"/>
      <c r="AG13" s="5"/>
      <c r="AH13" s="14"/>
      <c r="AI13" s="5"/>
      <c r="AJ13" s="5"/>
      <c r="AK13" s="14"/>
      <c r="AL13" s="5"/>
      <c r="AM13" s="5"/>
      <c r="AN13" s="5"/>
      <c r="AO13" s="5"/>
      <c r="AP13" s="5"/>
      <c r="AQ13" s="5"/>
      <c r="AR13" s="5"/>
      <c r="AS13" s="5"/>
      <c r="AT13" s="2"/>
      <c r="AU13" s="5"/>
      <c r="AV13" s="5"/>
      <c r="AW13" s="5"/>
      <c r="AX13" s="5"/>
      <c r="AY13" s="5"/>
      <c r="AZ13" s="2"/>
      <c r="BA13" s="5"/>
      <c r="BB13" s="5"/>
      <c r="BC13" s="2"/>
      <c r="BD13" s="5"/>
      <c r="BE13" s="5"/>
      <c r="BF13" s="14"/>
      <c r="BG13" s="5"/>
      <c r="BH13" s="5"/>
      <c r="BI13" s="5"/>
      <c r="BJ13" s="5"/>
      <c r="BK13" s="5"/>
      <c r="BL13" s="43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135"/>
      <c r="CE13" s="28"/>
      <c r="CF13" s="28"/>
      <c r="CG13" s="20"/>
      <c r="CH13" s="27"/>
    </row>
    <row r="14" spans="1:111" ht="50.45" customHeight="1" x14ac:dyDescent="0.25">
      <c r="A14" s="137"/>
      <c r="B14" s="138"/>
      <c r="C14" s="134"/>
      <c r="D14" s="134"/>
      <c r="E14" s="134"/>
      <c r="F14" s="134"/>
      <c r="G14" s="134"/>
      <c r="H14" s="134"/>
      <c r="I14" s="134"/>
      <c r="J14" s="4"/>
      <c r="K14" s="31"/>
      <c r="L14" s="31"/>
      <c r="M14" s="2"/>
      <c r="N14" s="31"/>
      <c r="O14" s="31"/>
      <c r="P14" s="38"/>
      <c r="Q14" s="38"/>
      <c r="R14" s="38"/>
      <c r="S14" s="14"/>
      <c r="T14" s="38"/>
      <c r="U14" s="38"/>
      <c r="V14" s="14"/>
      <c r="W14" s="38"/>
      <c r="X14" s="38"/>
      <c r="Y14" s="14"/>
      <c r="Z14" s="38"/>
      <c r="AA14" s="38"/>
      <c r="AB14" s="38"/>
      <c r="AC14" s="38"/>
      <c r="AD14" s="38"/>
      <c r="AE14" s="2"/>
      <c r="AF14" s="5"/>
      <c r="AG14" s="5"/>
      <c r="AH14" s="14"/>
      <c r="AI14" s="5"/>
      <c r="AJ14" s="5"/>
      <c r="AK14" s="14"/>
      <c r="AL14" s="5"/>
      <c r="AM14" s="5"/>
      <c r="AN14" s="5"/>
      <c r="AO14" s="5"/>
      <c r="AP14" s="5"/>
      <c r="AQ14" s="5"/>
      <c r="AR14" s="5"/>
      <c r="AS14" s="5"/>
      <c r="AT14" s="2"/>
      <c r="AU14" s="5"/>
      <c r="AV14" s="5"/>
      <c r="AW14" s="5"/>
      <c r="AX14" s="5"/>
      <c r="AY14" s="5"/>
      <c r="AZ14" s="2"/>
      <c r="BA14" s="5"/>
      <c r="BB14" s="5"/>
      <c r="BC14" s="2"/>
      <c r="BD14" s="5"/>
      <c r="BE14" s="5"/>
      <c r="BF14" s="14"/>
      <c r="BG14" s="5"/>
      <c r="BH14" s="5"/>
      <c r="BI14" s="5"/>
      <c r="BJ14" s="5"/>
      <c r="BK14" s="5"/>
      <c r="BL14" s="43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135"/>
      <c r="CE14" s="28"/>
      <c r="CF14" s="28"/>
      <c r="CG14" s="20"/>
      <c r="CH14" s="27"/>
    </row>
    <row r="15" spans="1:111" ht="50.45" customHeight="1" x14ac:dyDescent="0.25">
      <c r="A15" s="63"/>
      <c r="B15" s="138"/>
      <c r="C15" s="134"/>
      <c r="D15" s="134"/>
      <c r="E15" s="134"/>
      <c r="F15" s="134"/>
      <c r="G15" s="134"/>
      <c r="H15" s="134"/>
      <c r="I15" s="134"/>
      <c r="J15" s="38"/>
      <c r="K15" s="99"/>
      <c r="L15" s="99"/>
      <c r="M15" s="119"/>
      <c r="N15" s="99"/>
      <c r="O15" s="99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135"/>
      <c r="CE15" s="28"/>
      <c r="CF15" s="28"/>
      <c r="CG15" s="20"/>
      <c r="CH15" s="27"/>
    </row>
    <row r="16" spans="1:111" ht="50.45" customHeight="1" x14ac:dyDescent="0.25">
      <c r="A16" s="63"/>
      <c r="B16" s="138"/>
      <c r="C16" s="134"/>
      <c r="D16" s="134"/>
      <c r="E16" s="134"/>
      <c r="F16" s="134"/>
      <c r="G16" s="134"/>
      <c r="H16" s="134"/>
      <c r="I16" s="134"/>
      <c r="J16" s="38"/>
      <c r="K16" s="99"/>
      <c r="L16" s="99"/>
      <c r="M16" s="99"/>
      <c r="N16" s="99"/>
      <c r="O16" s="9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135"/>
      <c r="CE16" s="28"/>
      <c r="CF16" s="28"/>
      <c r="CG16" s="20"/>
      <c r="CH16" s="27"/>
    </row>
    <row r="17" spans="1:86" ht="50.45" customHeight="1" x14ac:dyDescent="0.25">
      <c r="A17" s="63"/>
      <c r="B17" s="138"/>
      <c r="C17" s="134"/>
      <c r="D17" s="134"/>
      <c r="E17" s="134"/>
      <c r="F17" s="134"/>
      <c r="G17" s="134"/>
      <c r="H17" s="134"/>
      <c r="I17" s="134"/>
      <c r="J17" s="38"/>
      <c r="K17" s="99"/>
      <c r="L17" s="99"/>
      <c r="M17" s="99"/>
      <c r="N17" s="99"/>
      <c r="O17" s="99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135"/>
      <c r="CE17" s="28"/>
      <c r="CF17" s="28"/>
      <c r="CG17" s="20"/>
      <c r="CH17" s="27"/>
    </row>
    <row r="18" spans="1:86" ht="18.75" x14ac:dyDescent="0.25">
      <c r="A18" s="133"/>
      <c r="B18" s="138"/>
      <c r="C18" s="134"/>
      <c r="D18" s="134"/>
      <c r="E18" s="134"/>
      <c r="F18" s="134"/>
      <c r="G18" s="134"/>
      <c r="H18" s="134"/>
      <c r="I18" s="134"/>
      <c r="J18" s="38"/>
      <c r="K18" s="99"/>
      <c r="L18" s="99"/>
      <c r="M18" s="119"/>
      <c r="N18" s="99"/>
      <c r="O18" s="9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135"/>
      <c r="CE18" s="28"/>
      <c r="CF18" s="28"/>
      <c r="CG18" s="20"/>
      <c r="CH18" s="27"/>
    </row>
    <row r="19" spans="1:86" ht="18.75" x14ac:dyDescent="0.25">
      <c r="A19" s="137"/>
      <c r="B19" s="138"/>
      <c r="C19" s="134"/>
      <c r="D19" s="134"/>
      <c r="E19" s="134"/>
      <c r="F19" s="134"/>
      <c r="G19" s="134"/>
      <c r="H19" s="134"/>
      <c r="I19" s="134"/>
      <c r="J19" s="4"/>
      <c r="K19" s="31"/>
      <c r="L19" s="31"/>
      <c r="M19" s="31"/>
      <c r="N19" s="31"/>
      <c r="O19" s="31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135"/>
      <c r="CE19" s="28"/>
      <c r="CF19" s="28"/>
      <c r="CG19" s="20"/>
      <c r="CH19" s="27"/>
    </row>
    <row r="20" spans="1:86" ht="18.75" x14ac:dyDescent="0.25">
      <c r="A20" s="63"/>
      <c r="B20" s="138"/>
      <c r="C20" s="134"/>
      <c r="D20" s="134"/>
      <c r="E20" s="134"/>
      <c r="F20" s="134"/>
      <c r="G20" s="134"/>
      <c r="H20" s="134"/>
      <c r="I20" s="134"/>
      <c r="J20" s="38"/>
      <c r="K20" s="99"/>
      <c r="L20" s="99"/>
      <c r="M20" s="99"/>
      <c r="N20" s="99"/>
      <c r="O20" s="9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135"/>
      <c r="CE20" s="28"/>
      <c r="CF20" s="28"/>
      <c r="CG20" s="20"/>
      <c r="CH20" s="27"/>
    </row>
    <row r="21" spans="1:86" ht="18.75" x14ac:dyDescent="0.25">
      <c r="A21" s="63"/>
      <c r="B21" s="138"/>
      <c r="C21" s="134"/>
      <c r="D21" s="134"/>
      <c r="E21" s="134"/>
      <c r="F21" s="134"/>
      <c r="G21" s="134"/>
      <c r="H21" s="134"/>
      <c r="I21" s="134"/>
      <c r="J21" s="38"/>
      <c r="K21" s="99"/>
      <c r="L21" s="99"/>
      <c r="M21" s="119"/>
      <c r="N21" s="99"/>
      <c r="O21" s="99"/>
      <c r="P21" s="2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135"/>
      <c r="CE21" s="28"/>
      <c r="CF21" s="28"/>
      <c r="CG21" s="20"/>
      <c r="CH21" s="27"/>
    </row>
    <row r="22" spans="1:86" ht="18.75" x14ac:dyDescent="0.25">
      <c r="A22" s="63"/>
      <c r="B22" s="138"/>
      <c r="C22" s="134"/>
      <c r="D22" s="134"/>
      <c r="E22" s="134"/>
      <c r="F22" s="134"/>
      <c r="G22" s="134"/>
      <c r="H22" s="134"/>
      <c r="I22" s="134"/>
      <c r="J22" s="38"/>
      <c r="K22" s="99"/>
      <c r="L22" s="99"/>
      <c r="M22" s="2"/>
      <c r="N22" s="99"/>
      <c r="O22" s="99"/>
      <c r="P22" s="2"/>
      <c r="Q22" s="2"/>
      <c r="R22" s="2"/>
      <c r="S22" s="2"/>
      <c r="T22" s="2"/>
      <c r="U22" s="38"/>
      <c r="V22" s="5"/>
      <c r="W22" s="38"/>
      <c r="X22" s="38"/>
      <c r="Y22" s="38"/>
      <c r="Z22" s="38"/>
      <c r="AA22" s="38"/>
      <c r="AB22" s="38"/>
      <c r="AC22" s="38"/>
      <c r="AD22" s="38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135"/>
      <c r="CE22" s="28"/>
      <c r="CF22" s="28"/>
      <c r="CG22" s="20"/>
      <c r="CH22" s="27"/>
    </row>
    <row r="23" spans="1:86" ht="18.75" x14ac:dyDescent="0.25">
      <c r="A23" s="133"/>
      <c r="B23" s="138"/>
      <c r="C23" s="134"/>
      <c r="D23" s="134"/>
      <c r="E23" s="134"/>
      <c r="F23" s="134"/>
      <c r="G23" s="134"/>
      <c r="H23" s="134"/>
      <c r="I23" s="134"/>
      <c r="J23" s="38"/>
      <c r="K23" s="99"/>
      <c r="L23" s="99"/>
      <c r="M23" s="2"/>
      <c r="N23" s="99"/>
      <c r="O23" s="99"/>
      <c r="P23" s="38"/>
      <c r="Q23" s="38"/>
      <c r="R23" s="38"/>
      <c r="S23" s="38"/>
      <c r="T23" s="38"/>
      <c r="U23" s="38"/>
      <c r="V23" s="5"/>
      <c r="W23" s="38"/>
      <c r="X23" s="38"/>
      <c r="Y23" s="38"/>
      <c r="Z23" s="38"/>
      <c r="AA23" s="38"/>
      <c r="AB23" s="38"/>
      <c r="AC23" s="38"/>
      <c r="AD23" s="38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135"/>
      <c r="CE23" s="28"/>
      <c r="CF23" s="28"/>
      <c r="CG23" s="20"/>
      <c r="CH23" s="27"/>
    </row>
    <row r="24" spans="1:86" ht="18.75" x14ac:dyDescent="0.25">
      <c r="A24" s="137"/>
      <c r="B24" s="138"/>
      <c r="C24" s="134"/>
      <c r="D24" s="134"/>
      <c r="E24" s="134"/>
      <c r="F24" s="134"/>
      <c r="G24" s="134"/>
      <c r="H24" s="134"/>
      <c r="I24" s="134"/>
      <c r="J24" s="2"/>
      <c r="K24" s="32"/>
      <c r="L24" s="32"/>
      <c r="M24" s="2"/>
      <c r="N24" s="32"/>
      <c r="O24" s="32"/>
      <c r="P24" s="2"/>
      <c r="Q24" s="2"/>
      <c r="R24" s="2"/>
      <c r="S24" s="2"/>
      <c r="T24" s="40"/>
      <c r="U24" s="40"/>
      <c r="V24" s="2"/>
      <c r="W24" s="2"/>
      <c r="X24" s="2"/>
      <c r="Y24" s="2"/>
      <c r="Z24" s="2"/>
      <c r="AA24" s="2"/>
      <c r="AB24" s="2"/>
      <c r="AC24" s="5"/>
      <c r="AD24" s="5"/>
      <c r="AE24" s="2"/>
      <c r="AF24" s="2"/>
      <c r="AG24" s="2"/>
      <c r="AH24" s="16"/>
      <c r="AI24" s="16"/>
      <c r="AJ24" s="2"/>
      <c r="AK24" s="2"/>
      <c r="AL24" s="16"/>
      <c r="AM24" s="2"/>
      <c r="AN24" s="2"/>
      <c r="AO24" s="2"/>
      <c r="AP24" s="2"/>
      <c r="AQ24" s="2"/>
      <c r="AR24" s="16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135"/>
      <c r="CE24" s="28"/>
      <c r="CF24" s="28"/>
      <c r="CG24" s="20"/>
      <c r="CH24" s="27"/>
    </row>
    <row r="25" spans="1:86" ht="18.75" x14ac:dyDescent="0.25">
      <c r="A25" s="63"/>
      <c r="B25" s="138"/>
      <c r="C25" s="134"/>
      <c r="D25" s="134"/>
      <c r="E25" s="134"/>
      <c r="F25" s="134"/>
      <c r="G25" s="134"/>
      <c r="H25" s="134"/>
      <c r="I25" s="134"/>
      <c r="J25" s="2"/>
      <c r="K25" s="2"/>
      <c r="L25" s="30"/>
      <c r="M25" s="30"/>
      <c r="N25" s="2"/>
      <c r="O25" s="30"/>
      <c r="P25" s="2"/>
      <c r="Q25" s="2"/>
      <c r="R25" s="2"/>
      <c r="S25" s="40"/>
      <c r="T25" s="40"/>
      <c r="U25" s="40"/>
      <c r="V25" s="2"/>
      <c r="W25" s="2"/>
      <c r="X25" s="2"/>
      <c r="Y25" s="2"/>
      <c r="Z25" s="38"/>
      <c r="AA25" s="2"/>
      <c r="AB25" s="14"/>
      <c r="AC25" s="38"/>
      <c r="AD25" s="5"/>
      <c r="AE25" s="2"/>
      <c r="AF25" s="5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135"/>
      <c r="CE25" s="28"/>
      <c r="CF25" s="28"/>
      <c r="CG25" s="20"/>
      <c r="CH25" s="27"/>
    </row>
    <row r="26" spans="1:86" ht="18.75" x14ac:dyDescent="0.25">
      <c r="A26" s="63"/>
      <c r="B26" s="138"/>
      <c r="C26" s="134"/>
      <c r="D26" s="134"/>
      <c r="E26" s="134"/>
      <c r="F26" s="134"/>
      <c r="G26" s="134"/>
      <c r="H26" s="134"/>
      <c r="I26" s="134"/>
      <c r="J26" s="38"/>
      <c r="K26" s="99"/>
      <c r="L26" s="99"/>
      <c r="M26" s="99"/>
      <c r="N26" s="99"/>
      <c r="O26" s="9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135"/>
      <c r="CE26" s="28"/>
      <c r="CF26" s="28"/>
      <c r="CG26" s="20"/>
      <c r="CH26" s="27"/>
    </row>
    <row r="27" spans="1:86" ht="18.75" x14ac:dyDescent="0.25">
      <c r="A27" s="63"/>
      <c r="B27" s="138"/>
      <c r="C27" s="134"/>
      <c r="D27" s="134"/>
      <c r="E27" s="134"/>
      <c r="F27" s="134"/>
      <c r="G27" s="134"/>
      <c r="H27" s="134"/>
      <c r="I27" s="134"/>
      <c r="J27" s="38"/>
      <c r="K27" s="99"/>
      <c r="L27" s="99"/>
      <c r="M27" s="99"/>
      <c r="N27" s="99"/>
      <c r="O27" s="99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135"/>
      <c r="CE27" s="28"/>
      <c r="CF27" s="28"/>
      <c r="CG27" s="20"/>
      <c r="CH27" s="27"/>
    </row>
    <row r="28" spans="1:86" ht="18.75" x14ac:dyDescent="0.25">
      <c r="A28" s="133"/>
      <c r="B28" s="138"/>
      <c r="C28" s="134"/>
      <c r="D28" s="134"/>
      <c r="E28" s="134"/>
      <c r="F28" s="134"/>
      <c r="G28" s="134"/>
      <c r="H28" s="134"/>
      <c r="I28" s="134"/>
      <c r="J28" s="38"/>
      <c r="K28" s="99"/>
      <c r="L28" s="99"/>
      <c r="M28" s="99"/>
      <c r="N28" s="99"/>
      <c r="O28" s="99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135"/>
      <c r="CE28" s="28"/>
      <c r="CF28" s="28"/>
      <c r="CG28" s="20"/>
      <c r="CH28" s="27"/>
    </row>
    <row r="29" spans="1:86" ht="18.75" x14ac:dyDescent="0.25">
      <c r="A29" s="137"/>
      <c r="B29" s="138"/>
      <c r="C29" s="134"/>
      <c r="D29" s="134"/>
      <c r="E29" s="134"/>
      <c r="F29" s="134"/>
      <c r="G29" s="134"/>
      <c r="H29" s="134"/>
      <c r="I29" s="134"/>
      <c r="J29" s="4"/>
      <c r="K29" s="31"/>
      <c r="L29" s="31"/>
      <c r="M29" s="2"/>
      <c r="N29" s="31"/>
      <c r="O29" s="31"/>
      <c r="P29" s="14"/>
      <c r="Q29" s="14"/>
      <c r="R29" s="14"/>
      <c r="S29" s="14"/>
      <c r="T29" s="14"/>
      <c r="U29" s="14"/>
      <c r="V29" s="14"/>
      <c r="W29" s="38"/>
      <c r="X29" s="38"/>
      <c r="Y29" s="14"/>
      <c r="Z29" s="38"/>
      <c r="AA29" s="38"/>
      <c r="AB29" s="38"/>
      <c r="AC29" s="38"/>
      <c r="AD29" s="38"/>
      <c r="AE29" s="2"/>
      <c r="AF29" s="5"/>
      <c r="AG29" s="5"/>
      <c r="AH29" s="14"/>
      <c r="AI29" s="5"/>
      <c r="AJ29" s="5"/>
      <c r="AK29" s="14"/>
      <c r="AL29" s="5"/>
      <c r="AM29" s="5"/>
      <c r="AN29" s="5"/>
      <c r="AO29" s="5"/>
      <c r="AP29" s="5"/>
      <c r="AQ29" s="5"/>
      <c r="AR29" s="5"/>
      <c r="AS29" s="5"/>
      <c r="AT29" s="2"/>
      <c r="AU29" s="5"/>
      <c r="AV29" s="5"/>
      <c r="AW29" s="5"/>
      <c r="AX29" s="5"/>
      <c r="AY29" s="5"/>
      <c r="AZ29" s="2"/>
      <c r="BA29" s="5"/>
      <c r="BB29" s="5"/>
      <c r="BC29" s="2"/>
      <c r="BD29" s="5"/>
      <c r="BE29" s="5"/>
      <c r="BF29" s="14"/>
      <c r="BG29" s="5"/>
      <c r="BH29" s="5"/>
      <c r="BI29" s="5"/>
      <c r="BJ29" s="5"/>
      <c r="BK29" s="5"/>
      <c r="BL29" s="43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135"/>
      <c r="CE29" s="28"/>
      <c r="CF29" s="28"/>
      <c r="CG29" s="20"/>
      <c r="CH29" s="27"/>
    </row>
    <row r="30" spans="1:86" ht="18.75" x14ac:dyDescent="0.25">
      <c r="A30" s="63"/>
      <c r="B30" s="138"/>
      <c r="C30" s="134"/>
      <c r="D30" s="134"/>
      <c r="E30" s="134"/>
      <c r="F30" s="134"/>
      <c r="G30" s="134"/>
      <c r="H30" s="134"/>
      <c r="I30" s="134"/>
      <c r="J30" s="4"/>
      <c r="K30" s="31"/>
      <c r="L30" s="31"/>
      <c r="M30" s="31"/>
      <c r="N30" s="31"/>
      <c r="O30" s="31"/>
      <c r="P30" s="14"/>
      <c r="Q30" s="14"/>
      <c r="R30" s="14"/>
      <c r="S30" s="14"/>
      <c r="T30" s="14"/>
      <c r="U30" s="14"/>
      <c r="V30" s="38"/>
      <c r="W30" s="38"/>
      <c r="X30" s="38"/>
      <c r="Y30" s="38"/>
      <c r="Z30" s="38"/>
      <c r="AA30" s="38"/>
      <c r="AB30" s="38"/>
      <c r="AC30" s="38"/>
      <c r="AD30" s="38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135"/>
      <c r="CE30" s="28"/>
      <c r="CF30" s="28"/>
      <c r="CG30" s="20"/>
      <c r="CH30" s="27"/>
    </row>
    <row r="31" spans="1:86" ht="18.75" x14ac:dyDescent="0.25">
      <c r="A31" s="63"/>
      <c r="B31" s="138"/>
      <c r="C31" s="134"/>
      <c r="D31" s="134"/>
      <c r="E31" s="134"/>
      <c r="F31" s="134"/>
      <c r="G31" s="134"/>
      <c r="H31" s="134"/>
      <c r="I31" s="134"/>
      <c r="J31" s="4"/>
      <c r="K31" s="31"/>
      <c r="L31" s="31"/>
      <c r="M31" s="2"/>
      <c r="N31" s="31"/>
      <c r="O31" s="31"/>
      <c r="P31" s="14"/>
      <c r="Q31" s="14"/>
      <c r="R31" s="14"/>
      <c r="S31" s="14"/>
      <c r="T31" s="14"/>
      <c r="U31" s="14"/>
      <c r="V31" s="14"/>
      <c r="W31" s="38"/>
      <c r="X31" s="38"/>
      <c r="Y31" s="14"/>
      <c r="Z31" s="38"/>
      <c r="AA31" s="38"/>
      <c r="AB31" s="38"/>
      <c r="AC31" s="38"/>
      <c r="AD31" s="38"/>
      <c r="AE31" s="2"/>
      <c r="AF31" s="5"/>
      <c r="AG31" s="5"/>
      <c r="AH31" s="14"/>
      <c r="AI31" s="5"/>
      <c r="AJ31" s="5"/>
      <c r="AK31" s="14"/>
      <c r="AL31" s="5"/>
      <c r="AM31" s="5"/>
      <c r="AN31" s="5"/>
      <c r="AO31" s="5"/>
      <c r="AP31" s="5"/>
      <c r="AQ31" s="5"/>
      <c r="AR31" s="5"/>
      <c r="AS31" s="5"/>
      <c r="AT31" s="2"/>
      <c r="AU31" s="5"/>
      <c r="AV31" s="5"/>
      <c r="AW31" s="5"/>
      <c r="AX31" s="5"/>
      <c r="AY31" s="5"/>
      <c r="AZ31" s="2"/>
      <c r="BA31" s="5"/>
      <c r="BB31" s="5"/>
      <c r="BC31" s="2"/>
      <c r="BD31" s="5"/>
      <c r="BE31" s="5"/>
      <c r="BF31" s="14"/>
      <c r="BG31" s="5"/>
      <c r="BH31" s="5"/>
      <c r="BI31" s="5"/>
      <c r="BJ31" s="5"/>
      <c r="BK31" s="5"/>
      <c r="BL31" s="43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135"/>
      <c r="CE31" s="28"/>
      <c r="CF31" s="28"/>
      <c r="CG31" s="20"/>
      <c r="CH31" s="27"/>
    </row>
    <row r="32" spans="1:86" ht="18.75" x14ac:dyDescent="0.25">
      <c r="A32" s="63"/>
      <c r="B32" s="138"/>
      <c r="C32" s="134"/>
      <c r="D32" s="134"/>
      <c r="E32" s="134"/>
      <c r="F32" s="134"/>
      <c r="G32" s="134"/>
      <c r="H32" s="134"/>
      <c r="I32" s="134"/>
      <c r="J32" s="4"/>
      <c r="K32" s="31"/>
      <c r="L32" s="31"/>
      <c r="M32" s="31"/>
      <c r="N32" s="31"/>
      <c r="O32" s="31"/>
      <c r="P32" s="14"/>
      <c r="Q32" s="14"/>
      <c r="R32" s="14"/>
      <c r="S32" s="14"/>
      <c r="T32" s="14"/>
      <c r="U32" s="14"/>
      <c r="V32" s="38"/>
      <c r="W32" s="38"/>
      <c r="X32" s="38"/>
      <c r="Y32" s="38"/>
      <c r="Z32" s="38"/>
      <c r="AA32" s="38"/>
      <c r="AB32" s="38"/>
      <c r="AC32" s="38"/>
      <c r="AD32" s="38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135"/>
      <c r="CE32" s="28"/>
      <c r="CF32" s="28"/>
      <c r="CG32" s="20"/>
      <c r="CH32" s="27"/>
    </row>
    <row r="33" spans="1:86" ht="18.75" x14ac:dyDescent="0.25">
      <c r="A33" s="133"/>
      <c r="B33" s="138"/>
      <c r="C33" s="134"/>
      <c r="D33" s="134"/>
      <c r="E33" s="134"/>
      <c r="F33" s="134"/>
      <c r="G33" s="134"/>
      <c r="H33" s="134"/>
      <c r="I33" s="134"/>
      <c r="J33" s="38"/>
      <c r="K33" s="99"/>
      <c r="L33" s="99"/>
      <c r="M33" s="99"/>
      <c r="N33" s="99"/>
      <c r="O33" s="99"/>
      <c r="P33" s="14"/>
      <c r="Q33" s="14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135"/>
      <c r="CE33" s="28"/>
      <c r="CF33" s="28"/>
      <c r="CG33" s="20"/>
      <c r="CH33" s="27"/>
    </row>
    <row r="34" spans="1:86" ht="18.75" x14ac:dyDescent="0.25">
      <c r="A34" s="137"/>
      <c r="B34" s="138"/>
      <c r="C34" s="134"/>
      <c r="D34" s="134"/>
      <c r="E34" s="134"/>
      <c r="F34" s="134"/>
      <c r="G34" s="134"/>
      <c r="H34" s="134"/>
      <c r="I34" s="134"/>
      <c r="J34" s="38"/>
      <c r="K34" s="99"/>
      <c r="L34" s="99"/>
      <c r="M34" s="99"/>
      <c r="N34" s="99"/>
      <c r="O34" s="99"/>
      <c r="P34" s="14"/>
      <c r="Q34" s="14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135"/>
      <c r="CE34" s="28"/>
      <c r="CF34" s="28"/>
      <c r="CG34" s="20"/>
      <c r="CH34" s="27"/>
    </row>
    <row r="35" spans="1:86" ht="18.75" x14ac:dyDescent="0.25">
      <c r="A35" s="63"/>
      <c r="B35" s="138"/>
      <c r="C35" s="134"/>
      <c r="D35" s="134"/>
      <c r="E35" s="134"/>
      <c r="F35" s="134"/>
      <c r="G35" s="134"/>
      <c r="H35" s="134"/>
      <c r="I35" s="134"/>
      <c r="J35" s="4"/>
      <c r="K35" s="31"/>
      <c r="L35" s="31"/>
      <c r="M35" s="31"/>
      <c r="N35" s="31"/>
      <c r="O35" s="31"/>
      <c r="P35" s="14"/>
      <c r="Q35" s="14"/>
      <c r="R35" s="38"/>
      <c r="S35" s="14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135"/>
      <c r="CE35" s="28"/>
      <c r="CF35" s="28"/>
      <c r="CG35" s="20"/>
      <c r="CH35" s="27"/>
    </row>
    <row r="36" spans="1:86" ht="18.75" x14ac:dyDescent="0.25">
      <c r="A36" s="63"/>
      <c r="B36" s="138"/>
      <c r="C36" s="134"/>
      <c r="D36" s="134"/>
      <c r="E36" s="134"/>
      <c r="F36" s="134"/>
      <c r="G36" s="134"/>
      <c r="H36" s="134"/>
      <c r="I36" s="134"/>
      <c r="J36" s="4"/>
      <c r="K36" s="31"/>
      <c r="L36" s="31"/>
      <c r="M36" s="31"/>
      <c r="N36" s="31"/>
      <c r="O36" s="31"/>
      <c r="P36" s="14"/>
      <c r="Q36" s="14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135"/>
      <c r="CE36" s="28"/>
      <c r="CF36" s="28"/>
      <c r="CG36" s="20"/>
      <c r="CH36" s="27"/>
    </row>
    <row r="37" spans="1:86" ht="18.75" x14ac:dyDescent="0.25">
      <c r="A37" s="63"/>
      <c r="B37" s="138"/>
      <c r="C37" s="134"/>
      <c r="D37" s="134"/>
      <c r="E37" s="134"/>
      <c r="F37" s="134"/>
      <c r="G37" s="134"/>
      <c r="H37" s="134"/>
      <c r="I37" s="134"/>
      <c r="J37" s="4"/>
      <c r="K37" s="31"/>
      <c r="L37" s="31"/>
      <c r="M37" s="31"/>
      <c r="N37" s="31"/>
      <c r="O37" s="31"/>
      <c r="P37" s="14"/>
      <c r="Q37" s="14"/>
      <c r="R37" s="14"/>
      <c r="S37" s="14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135"/>
      <c r="CE37" s="28"/>
      <c r="CF37" s="28"/>
      <c r="CG37" s="20"/>
      <c r="CH37" s="27"/>
    </row>
    <row r="38" spans="1:86" ht="50.45" customHeight="1" x14ac:dyDescent="0.25">
      <c r="A38" s="63">
        <f t="shared" si="2"/>
        <v>35</v>
      </c>
      <c r="B38" s="214" t="s">
        <v>655</v>
      </c>
      <c r="C38" s="134"/>
      <c r="D38" s="134"/>
      <c r="E38" s="134"/>
      <c r="F38" s="134"/>
      <c r="G38" s="134" t="s">
        <v>654</v>
      </c>
      <c r="H38" s="134" t="s">
        <v>15</v>
      </c>
      <c r="I38" s="134"/>
      <c r="J38" s="210"/>
      <c r="K38" s="211"/>
      <c r="L38" s="211"/>
      <c r="M38" s="211"/>
      <c r="N38" s="211"/>
      <c r="O38" s="211"/>
      <c r="P38" s="210"/>
      <c r="Q38" s="210"/>
      <c r="R38" s="210"/>
      <c r="S38" s="210"/>
      <c r="T38" s="210"/>
      <c r="U38" s="210"/>
      <c r="V38" s="180"/>
      <c r="W38" s="180"/>
      <c r="X38" s="180"/>
      <c r="Y38" s="180"/>
      <c r="Z38" s="180" t="s">
        <v>31</v>
      </c>
      <c r="AA38" s="180"/>
      <c r="AB38" s="210"/>
      <c r="AC38" s="210"/>
      <c r="AD38" s="210"/>
      <c r="AE38" s="210"/>
      <c r="AF38" s="210"/>
      <c r="AG38" s="210"/>
      <c r="AH38" s="180"/>
      <c r="AI38" s="180"/>
      <c r="AJ38" s="180"/>
      <c r="AK38" s="180"/>
      <c r="AL38" s="180"/>
      <c r="AM38" s="210"/>
      <c r="AN38" s="210"/>
      <c r="AO38" s="210"/>
      <c r="AP38" s="210"/>
      <c r="AQ38" s="210"/>
      <c r="AR38" s="210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135">
        <f>COUNTA(J38:CC38)</f>
        <v>1</v>
      </c>
      <c r="CE38" s="28"/>
      <c r="CF38" s="28" t="s">
        <v>661</v>
      </c>
      <c r="CG38" s="20" t="s">
        <v>659</v>
      </c>
      <c r="CH38" s="27" t="str">
        <f>IF(CD38&lt;=0,"0",IF(CD38=1,"1",IF(CD38=2,"2",IF(CD38=3,"3",IF(CD38&gt;=4,"4")))))</f>
        <v>1</v>
      </c>
    </row>
    <row r="39" spans="1:86" ht="50.45" customHeight="1" x14ac:dyDescent="0.25">
      <c r="A39" s="63">
        <f t="shared" si="2"/>
        <v>36</v>
      </c>
      <c r="B39" s="214" t="s">
        <v>657</v>
      </c>
      <c r="C39" s="134"/>
      <c r="D39" s="134"/>
      <c r="E39" s="134"/>
      <c r="F39" s="134"/>
      <c r="G39" s="134" t="s">
        <v>654</v>
      </c>
      <c r="H39" s="134" t="s">
        <v>15</v>
      </c>
      <c r="I39" s="134"/>
      <c r="J39" s="180"/>
      <c r="K39" s="209"/>
      <c r="L39" s="209"/>
      <c r="M39" s="209"/>
      <c r="N39" s="209"/>
      <c r="O39" s="209"/>
      <c r="P39" s="210"/>
      <c r="Q39" s="210"/>
      <c r="R39" s="210"/>
      <c r="S39" s="210"/>
      <c r="T39" s="210"/>
      <c r="U39" s="210"/>
      <c r="V39" s="180"/>
      <c r="W39" s="180"/>
      <c r="X39" s="180"/>
      <c r="Y39" s="180"/>
      <c r="Z39" s="180" t="s">
        <v>31</v>
      </c>
      <c r="AA39" s="180"/>
      <c r="AB39" s="210"/>
      <c r="AC39" s="210"/>
      <c r="AD39" s="210"/>
      <c r="AE39" s="210"/>
      <c r="AF39" s="210"/>
      <c r="AG39" s="210"/>
      <c r="AH39" s="180"/>
      <c r="AI39" s="180"/>
      <c r="AJ39" s="180"/>
      <c r="AK39" s="180"/>
      <c r="AL39" s="180"/>
      <c r="AM39" s="210"/>
      <c r="AN39" s="210"/>
      <c r="AO39" s="210"/>
      <c r="AP39" s="210"/>
      <c r="AQ39" s="210"/>
      <c r="AR39" s="210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135">
        <f>COUNTA(J39:CC39)</f>
        <v>1</v>
      </c>
      <c r="CE39" s="28"/>
      <c r="CF39" s="28" t="s">
        <v>661</v>
      </c>
      <c r="CG39" s="20" t="s">
        <v>662</v>
      </c>
      <c r="CH39" s="27" t="str">
        <f>IF(CD39&lt;=0,"0",IF(CD39=1,"1",IF(CD39=2,"2",IF(CD39=3,"3",IF(CD39&gt;=4,"4")))))</f>
        <v>1</v>
      </c>
    </row>
    <row r="40" spans="1:86" ht="50.45" customHeight="1" x14ac:dyDescent="0.25">
      <c r="A40" s="63">
        <f t="shared" si="2"/>
        <v>37</v>
      </c>
      <c r="B40" s="214" t="s">
        <v>658</v>
      </c>
      <c r="C40" s="134"/>
      <c r="D40" s="134"/>
      <c r="E40" s="134"/>
      <c r="F40" s="134"/>
      <c r="G40" s="134" t="s">
        <v>654</v>
      </c>
      <c r="H40" s="134" t="s">
        <v>15</v>
      </c>
      <c r="I40" s="134"/>
      <c r="J40" s="210"/>
      <c r="K40" s="211"/>
      <c r="L40" s="211"/>
      <c r="M40" s="211"/>
      <c r="N40" s="211"/>
      <c r="O40" s="211"/>
      <c r="P40" s="210"/>
      <c r="Q40" s="210"/>
      <c r="R40" s="210"/>
      <c r="S40" s="210"/>
      <c r="T40" s="210"/>
      <c r="U40" s="210"/>
      <c r="V40" s="180"/>
      <c r="W40" s="180"/>
      <c r="X40" s="180"/>
      <c r="Y40" s="180"/>
      <c r="Z40" s="180" t="s">
        <v>31</v>
      </c>
      <c r="AA40" s="18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135">
        <f>COUNTA(J40:CC40)</f>
        <v>1</v>
      </c>
      <c r="CE40" s="28"/>
      <c r="CF40" s="28" t="s">
        <v>661</v>
      </c>
      <c r="CG40" s="20" t="s">
        <v>660</v>
      </c>
      <c r="CH40" s="27" t="str">
        <f>IF(CD40&lt;=0,"0",IF(CD40=1,"1",IF(CD40=2,"2",IF(CD40=3,"3",IF(CD40&gt;=4,"4")))))</f>
        <v>1</v>
      </c>
    </row>
    <row r="41" spans="1:86" ht="18.75" x14ac:dyDescent="0.25">
      <c r="A41" s="133"/>
      <c r="B41" s="138"/>
      <c r="C41" s="134"/>
      <c r="D41" s="134"/>
      <c r="E41" s="134"/>
      <c r="F41" s="134"/>
      <c r="G41" s="134"/>
      <c r="H41" s="134"/>
      <c r="I41" s="134"/>
      <c r="J41" s="4"/>
      <c r="K41" s="31"/>
      <c r="L41" s="31"/>
      <c r="M41" s="31"/>
      <c r="N41" s="31"/>
      <c r="O41" s="31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135"/>
      <c r="CE41" s="28"/>
      <c r="CF41" s="28"/>
      <c r="CG41" s="20"/>
      <c r="CH41" s="27"/>
    </row>
    <row r="42" spans="1:86" ht="18.75" x14ac:dyDescent="0.25">
      <c r="A42" s="137"/>
      <c r="B42" s="138"/>
      <c r="C42" s="134"/>
      <c r="D42" s="134"/>
      <c r="E42" s="134"/>
      <c r="F42" s="134"/>
      <c r="G42" s="134"/>
      <c r="H42" s="134"/>
      <c r="I42" s="134"/>
      <c r="J42" s="4"/>
      <c r="K42" s="31"/>
      <c r="L42" s="31"/>
      <c r="M42" s="31"/>
      <c r="N42" s="31"/>
      <c r="O42" s="31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135"/>
      <c r="CE42" s="28"/>
      <c r="CF42" s="28"/>
      <c r="CG42" s="20"/>
      <c r="CH42" s="27"/>
    </row>
    <row r="43" spans="1:86" ht="18.75" x14ac:dyDescent="0.25">
      <c r="A43" s="63"/>
      <c r="B43" s="138"/>
      <c r="C43" s="134"/>
      <c r="D43" s="134"/>
      <c r="E43" s="134"/>
      <c r="F43" s="134"/>
      <c r="G43" s="134"/>
      <c r="H43" s="134"/>
      <c r="I43" s="134"/>
      <c r="J43" s="4"/>
      <c r="K43" s="31"/>
      <c r="L43" s="31"/>
      <c r="M43" s="31"/>
      <c r="N43" s="31"/>
      <c r="O43" s="31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135"/>
      <c r="CE43" s="28"/>
      <c r="CF43" s="28"/>
      <c r="CG43" s="20"/>
      <c r="CH43" s="27"/>
    </row>
    <row r="44" spans="1:86" ht="18.75" x14ac:dyDescent="0.25">
      <c r="A44" s="63"/>
      <c r="B44" s="138"/>
      <c r="C44" s="134"/>
      <c r="D44" s="134"/>
      <c r="E44" s="134"/>
      <c r="F44" s="134"/>
      <c r="G44" s="134"/>
      <c r="H44" s="134"/>
      <c r="I44" s="134"/>
      <c r="J44" s="2"/>
      <c r="K44" s="30"/>
      <c r="L44" s="30"/>
      <c r="M44" s="30"/>
      <c r="N44" s="30"/>
      <c r="O44" s="30"/>
      <c r="P44" s="2"/>
      <c r="Q44" s="2"/>
      <c r="R44" s="2"/>
      <c r="S44" s="40"/>
      <c r="T44" s="40"/>
      <c r="U44" s="40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6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135"/>
      <c r="CE44" s="28"/>
      <c r="CF44" s="28"/>
      <c r="CG44" s="20"/>
      <c r="CH44" s="27"/>
    </row>
    <row r="45" spans="1:86" ht="18.75" x14ac:dyDescent="0.25">
      <c r="A45" s="63"/>
      <c r="B45" s="138"/>
      <c r="C45" s="134"/>
      <c r="D45" s="134"/>
      <c r="E45" s="134"/>
      <c r="F45" s="134"/>
      <c r="G45" s="134"/>
      <c r="H45" s="134"/>
      <c r="I45" s="134"/>
      <c r="J45" s="4"/>
      <c r="K45" s="31"/>
      <c r="L45" s="31"/>
      <c r="M45" s="31"/>
      <c r="N45" s="31"/>
      <c r="O45" s="31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135"/>
      <c r="CE45" s="28"/>
      <c r="CF45" s="28"/>
      <c r="CG45" s="20"/>
      <c r="CH45" s="27"/>
    </row>
    <row r="46" spans="1:86" ht="18.75" x14ac:dyDescent="0.25">
      <c r="A46" s="133"/>
      <c r="B46" s="138"/>
      <c r="C46" s="134"/>
      <c r="D46" s="134"/>
      <c r="E46" s="134"/>
      <c r="F46" s="134"/>
      <c r="G46" s="134"/>
      <c r="H46" s="134"/>
      <c r="I46" s="134"/>
      <c r="J46" s="4"/>
      <c r="K46" s="31"/>
      <c r="L46" s="31"/>
      <c r="M46" s="31"/>
      <c r="N46" s="31"/>
      <c r="O46" s="31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135"/>
      <c r="CE46" s="28"/>
      <c r="CF46" s="28"/>
      <c r="CG46" s="20"/>
      <c r="CH46" s="27"/>
    </row>
    <row r="47" spans="1:86" ht="18.75" x14ac:dyDescent="0.25">
      <c r="A47" s="137"/>
      <c r="B47" s="138"/>
      <c r="C47" s="134"/>
      <c r="D47" s="134"/>
      <c r="E47" s="134"/>
      <c r="F47" s="134"/>
      <c r="G47" s="134"/>
      <c r="H47" s="134"/>
      <c r="I47" s="134"/>
      <c r="J47" s="4"/>
      <c r="K47" s="31"/>
      <c r="L47" s="31"/>
      <c r="M47" s="31"/>
      <c r="N47" s="31"/>
      <c r="O47" s="31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35"/>
      <c r="CE47" s="28"/>
      <c r="CF47" s="28"/>
      <c r="CG47" s="20"/>
      <c r="CH47" s="27"/>
    </row>
    <row r="48" spans="1:86" ht="18.75" x14ac:dyDescent="0.25">
      <c r="A48" s="63"/>
      <c r="B48" s="138"/>
      <c r="C48" s="134"/>
      <c r="D48" s="134"/>
      <c r="E48" s="134"/>
      <c r="F48" s="134"/>
      <c r="G48" s="134"/>
      <c r="H48" s="134"/>
      <c r="I48" s="134"/>
      <c r="J48" s="2"/>
      <c r="K48" s="32"/>
      <c r="L48" s="32"/>
      <c r="M48" s="16"/>
      <c r="N48" s="78"/>
      <c r="O48" s="32"/>
      <c r="P48" s="40"/>
      <c r="Q48" s="2"/>
      <c r="R48" s="2"/>
      <c r="S48" s="40"/>
      <c r="T48" s="2"/>
      <c r="U48" s="40"/>
      <c r="V48" s="2"/>
      <c r="W48" s="2"/>
      <c r="X48" s="2"/>
      <c r="Y48" s="2"/>
      <c r="Z48" s="2"/>
      <c r="AA48" s="2"/>
      <c r="AB48" s="2"/>
      <c r="AC48" s="5"/>
      <c r="AD48" s="5"/>
      <c r="AE48" s="2"/>
      <c r="AF48" s="2"/>
      <c r="AG48" s="2"/>
      <c r="AH48" s="16"/>
      <c r="AI48" s="16"/>
      <c r="AJ48" s="2"/>
      <c r="AK48" s="16"/>
      <c r="AL48" s="16"/>
      <c r="AM48" s="2"/>
      <c r="AN48" s="2"/>
      <c r="AO48" s="2"/>
      <c r="AP48" s="2"/>
      <c r="AQ48" s="2"/>
      <c r="AR48" s="16"/>
      <c r="AS48" s="2"/>
      <c r="AT48" s="2"/>
      <c r="AU48" s="2"/>
      <c r="AV48" s="2"/>
      <c r="AW48" s="2"/>
      <c r="AX48" s="2"/>
      <c r="AY48" s="2"/>
      <c r="AZ48" s="2"/>
      <c r="BA48" s="2"/>
      <c r="BB48" s="5"/>
      <c r="BC48" s="2"/>
      <c r="BD48" s="2"/>
      <c r="BE48" s="2"/>
      <c r="BF48" s="2"/>
      <c r="BG48" s="2"/>
      <c r="BH48" s="2"/>
      <c r="BI48" s="16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135"/>
      <c r="CE48" s="28"/>
      <c r="CF48" s="28"/>
      <c r="CG48" s="20"/>
      <c r="CH48" s="27"/>
    </row>
    <row r="49" spans="1:86" ht="18.75" x14ac:dyDescent="0.25">
      <c r="A49" s="63"/>
      <c r="B49" s="138"/>
      <c r="C49" s="134"/>
      <c r="D49" s="134"/>
      <c r="E49" s="134"/>
      <c r="F49" s="134"/>
      <c r="G49" s="134"/>
      <c r="H49" s="134"/>
      <c r="I49" s="134"/>
      <c r="J49" s="2"/>
      <c r="K49" s="2"/>
      <c r="L49" s="30"/>
      <c r="M49" s="2"/>
      <c r="N49" s="16"/>
      <c r="O49" s="30"/>
      <c r="P49" s="2"/>
      <c r="Q49" s="2"/>
      <c r="R49" s="136"/>
      <c r="S49" s="2"/>
      <c r="T49" s="40"/>
      <c r="U49" s="40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16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135"/>
      <c r="CE49" s="28"/>
      <c r="CF49" s="28"/>
      <c r="CG49" s="20"/>
      <c r="CH49" s="27"/>
    </row>
    <row r="50" spans="1:86" ht="18.75" x14ac:dyDescent="0.25">
      <c r="A50" s="63"/>
      <c r="B50" s="138"/>
      <c r="C50" s="134"/>
      <c r="D50" s="134"/>
      <c r="E50" s="134"/>
      <c r="F50" s="134"/>
      <c r="G50" s="134"/>
      <c r="H50" s="134"/>
      <c r="I50" s="134"/>
      <c r="J50" s="2"/>
      <c r="K50" s="2"/>
      <c r="L50" s="30"/>
      <c r="M50" s="2"/>
      <c r="N50" s="16"/>
      <c r="O50" s="30"/>
      <c r="P50" s="2"/>
      <c r="Q50" s="2"/>
      <c r="R50" s="136"/>
      <c r="S50" s="2"/>
      <c r="T50" s="40"/>
      <c r="U50" s="40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16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135"/>
      <c r="CE50" s="28"/>
      <c r="CF50" s="28"/>
      <c r="CG50" s="20"/>
      <c r="CH50" s="27"/>
    </row>
    <row r="51" spans="1:86" ht="18.75" x14ac:dyDescent="0.25">
      <c r="A51" s="133"/>
      <c r="B51" s="138"/>
      <c r="C51" s="134"/>
      <c r="D51" s="134"/>
      <c r="E51" s="134"/>
      <c r="F51" s="134"/>
      <c r="G51" s="134"/>
      <c r="H51" s="134"/>
      <c r="I51" s="134"/>
      <c r="J51" s="38"/>
      <c r="K51" s="99"/>
      <c r="L51" s="99"/>
      <c r="M51" s="119"/>
      <c r="N51" s="99"/>
      <c r="O51" s="99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135"/>
      <c r="CE51" s="28"/>
      <c r="CF51" s="28"/>
      <c r="CG51" s="20"/>
      <c r="CH51" s="27"/>
    </row>
    <row r="52" spans="1:86" ht="18.75" x14ac:dyDescent="0.25">
      <c r="A52" s="137"/>
      <c r="B52" s="138"/>
      <c r="C52" s="134"/>
      <c r="D52" s="134"/>
      <c r="E52" s="134"/>
      <c r="F52" s="134"/>
      <c r="G52" s="134"/>
      <c r="H52" s="134"/>
      <c r="I52" s="134"/>
      <c r="J52" s="38"/>
      <c r="K52" s="99"/>
      <c r="L52" s="99"/>
      <c r="M52" s="99"/>
      <c r="N52" s="99"/>
      <c r="O52" s="99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135"/>
      <c r="CE52" s="28"/>
      <c r="CF52" s="28"/>
      <c r="CG52" s="20"/>
      <c r="CH52" s="27"/>
    </row>
    <row r="53" spans="1:86" ht="18.75" x14ac:dyDescent="0.25">
      <c r="A53" s="63"/>
      <c r="B53" s="138"/>
      <c r="C53" s="134"/>
      <c r="D53" s="134"/>
      <c r="E53" s="134"/>
      <c r="F53" s="134"/>
      <c r="G53" s="134"/>
      <c r="H53" s="134"/>
      <c r="I53" s="134"/>
      <c r="J53" s="38"/>
      <c r="K53" s="99"/>
      <c r="L53" s="99"/>
      <c r="M53" s="99"/>
      <c r="N53" s="99"/>
      <c r="O53" s="99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135"/>
      <c r="CE53" s="28"/>
      <c r="CF53" s="28"/>
      <c r="CG53" s="20"/>
      <c r="CH53" s="27"/>
    </row>
    <row r="54" spans="1:86" ht="18.75" x14ac:dyDescent="0.25">
      <c r="A54" s="63"/>
      <c r="B54" s="138"/>
      <c r="C54" s="134"/>
      <c r="D54" s="134"/>
      <c r="E54" s="134"/>
      <c r="F54" s="134"/>
      <c r="G54" s="134"/>
      <c r="H54" s="134"/>
      <c r="I54" s="134"/>
      <c r="J54" s="38"/>
      <c r="K54" s="99"/>
      <c r="L54" s="99"/>
      <c r="M54" s="99"/>
      <c r="N54" s="99"/>
      <c r="O54" s="99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135"/>
      <c r="CE54" s="28"/>
      <c r="CF54" s="28"/>
      <c r="CG54" s="20"/>
      <c r="CH54" s="27"/>
    </row>
    <row r="55" spans="1:86" ht="18.75" x14ac:dyDescent="0.25">
      <c r="A55" s="63"/>
      <c r="B55" s="138"/>
      <c r="C55" s="134"/>
      <c r="D55" s="134"/>
      <c r="E55" s="134"/>
      <c r="F55" s="134"/>
      <c r="G55" s="134"/>
      <c r="H55" s="134"/>
      <c r="I55" s="134"/>
      <c r="J55" s="38"/>
      <c r="K55" s="99"/>
      <c r="L55" s="99"/>
      <c r="M55" s="99"/>
      <c r="N55" s="99"/>
      <c r="O55" s="99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135"/>
      <c r="CE55" s="28"/>
      <c r="CF55" s="28"/>
      <c r="CG55" s="20"/>
      <c r="CH55" s="27"/>
    </row>
    <row r="56" spans="1:86" ht="18.75" x14ac:dyDescent="0.25">
      <c r="A56" s="133"/>
      <c r="B56" s="138"/>
      <c r="C56" s="134"/>
      <c r="D56" s="134"/>
      <c r="E56" s="134"/>
      <c r="F56" s="134"/>
      <c r="G56" s="134"/>
      <c r="H56" s="134"/>
      <c r="I56" s="134"/>
      <c r="J56" s="38"/>
      <c r="K56" s="99"/>
      <c r="L56" s="99"/>
      <c r="M56" s="119"/>
      <c r="N56" s="99"/>
      <c r="O56" s="99"/>
      <c r="P56" s="38"/>
      <c r="Q56" s="38"/>
      <c r="R56" s="38"/>
      <c r="S56" s="2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135"/>
      <c r="CE56" s="28"/>
      <c r="CF56" s="28"/>
      <c r="CG56" s="20"/>
      <c r="CH56" s="27"/>
    </row>
    <row r="57" spans="1:86" ht="18.75" x14ac:dyDescent="0.25">
      <c r="A57" s="137"/>
      <c r="B57" s="138"/>
      <c r="C57" s="134"/>
      <c r="D57" s="134"/>
      <c r="E57" s="134"/>
      <c r="F57" s="134"/>
      <c r="G57" s="134"/>
      <c r="H57" s="134"/>
      <c r="I57" s="134"/>
      <c r="J57" s="4"/>
      <c r="K57" s="31"/>
      <c r="L57" s="31"/>
      <c r="M57" s="31"/>
      <c r="N57" s="31"/>
      <c r="O57" s="31"/>
      <c r="P57" s="38"/>
      <c r="Q57" s="38"/>
      <c r="R57" s="38"/>
      <c r="S57" s="2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135"/>
      <c r="CE57" s="28"/>
      <c r="CF57" s="28"/>
      <c r="CG57" s="20"/>
      <c r="CH57" s="27"/>
    </row>
    <row r="58" spans="1:86" ht="18.75" x14ac:dyDescent="0.25">
      <c r="A58" s="63"/>
      <c r="B58" s="138"/>
      <c r="C58" s="134"/>
      <c r="D58" s="134"/>
      <c r="E58" s="134"/>
      <c r="F58" s="134"/>
      <c r="G58" s="134"/>
      <c r="H58" s="134"/>
      <c r="I58" s="134"/>
      <c r="J58" s="38"/>
      <c r="K58" s="99"/>
      <c r="L58" s="99"/>
      <c r="M58" s="119"/>
      <c r="N58" s="99"/>
      <c r="O58" s="99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135"/>
      <c r="CE58" s="28"/>
      <c r="CF58" s="28"/>
      <c r="CG58" s="20"/>
      <c r="CH58" s="27"/>
    </row>
    <row r="59" spans="1:86" ht="18.75" x14ac:dyDescent="0.25">
      <c r="A59" s="63"/>
      <c r="B59" s="138"/>
      <c r="C59" s="134"/>
      <c r="D59" s="134"/>
      <c r="E59" s="134"/>
      <c r="F59" s="134"/>
      <c r="G59" s="134"/>
      <c r="H59" s="134"/>
      <c r="I59" s="134"/>
      <c r="J59" s="38"/>
      <c r="K59" s="99"/>
      <c r="L59" s="99"/>
      <c r="M59" s="99"/>
      <c r="N59" s="99"/>
      <c r="O59" s="99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135"/>
      <c r="CE59" s="28"/>
      <c r="CF59" s="28"/>
      <c r="CG59" s="20"/>
      <c r="CH59" s="27"/>
    </row>
    <row r="60" spans="1:86" ht="18.75" x14ac:dyDescent="0.25">
      <c r="A60" s="63"/>
      <c r="B60" s="138"/>
      <c r="C60" s="134"/>
      <c r="D60" s="134"/>
      <c r="E60" s="134"/>
      <c r="F60" s="134"/>
      <c r="G60" s="134"/>
      <c r="H60" s="134"/>
      <c r="I60" s="134"/>
      <c r="J60" s="4"/>
      <c r="K60" s="31"/>
      <c r="L60" s="31"/>
      <c r="M60" s="2"/>
      <c r="N60" s="31"/>
      <c r="O60" s="31"/>
      <c r="P60" s="38"/>
      <c r="Q60" s="38"/>
      <c r="R60" s="38"/>
      <c r="S60" s="14"/>
      <c r="T60" s="38"/>
      <c r="U60" s="38"/>
      <c r="V60" s="14"/>
      <c r="W60" s="38"/>
      <c r="X60" s="38"/>
      <c r="Y60" s="14"/>
      <c r="Z60" s="38"/>
      <c r="AA60" s="38"/>
      <c r="AB60" s="38"/>
      <c r="AC60" s="38"/>
      <c r="AD60" s="38"/>
      <c r="AE60" s="2"/>
      <c r="AF60" s="5"/>
      <c r="AG60" s="5"/>
      <c r="AH60" s="14"/>
      <c r="AI60" s="5"/>
      <c r="AJ60" s="5"/>
      <c r="AK60" s="14"/>
      <c r="AL60" s="5"/>
      <c r="AM60" s="5"/>
      <c r="AN60" s="5"/>
      <c r="AO60" s="5"/>
      <c r="AP60" s="5"/>
      <c r="AQ60" s="5"/>
      <c r="AR60" s="5"/>
      <c r="AS60" s="5"/>
      <c r="AT60" s="2"/>
      <c r="AU60" s="5"/>
      <c r="AV60" s="5"/>
      <c r="AW60" s="5"/>
      <c r="AX60" s="5"/>
      <c r="AY60" s="5"/>
      <c r="AZ60" s="2"/>
      <c r="BA60" s="5"/>
      <c r="BB60" s="5"/>
      <c r="BC60" s="2"/>
      <c r="BD60" s="5"/>
      <c r="BE60" s="5"/>
      <c r="BF60" s="14"/>
      <c r="BG60" s="5"/>
      <c r="BH60" s="5"/>
      <c r="BI60" s="5"/>
      <c r="BJ60" s="5"/>
      <c r="BK60" s="5"/>
      <c r="BL60" s="43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135"/>
      <c r="CE60" s="28"/>
      <c r="CF60" s="28"/>
      <c r="CG60" s="20"/>
      <c r="CH60" s="27"/>
    </row>
    <row r="61" spans="1:86" ht="18.75" x14ac:dyDescent="0.25">
      <c r="A61" s="133"/>
      <c r="B61" s="138"/>
      <c r="C61" s="134"/>
      <c r="D61" s="134"/>
      <c r="E61" s="134"/>
      <c r="F61" s="134"/>
      <c r="G61" s="134"/>
      <c r="H61" s="134"/>
      <c r="I61" s="134"/>
      <c r="J61" s="38"/>
      <c r="K61" s="99"/>
      <c r="L61" s="99"/>
      <c r="M61" s="119"/>
      <c r="N61" s="99"/>
      <c r="O61" s="99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135"/>
      <c r="CE61" s="28"/>
      <c r="CF61" s="28"/>
      <c r="CG61" s="20"/>
      <c r="CH61" s="27"/>
    </row>
    <row r="62" spans="1:86" ht="18.75" x14ac:dyDescent="0.25">
      <c r="A62" s="137"/>
      <c r="B62" s="138"/>
      <c r="C62" s="134"/>
      <c r="D62" s="134"/>
      <c r="E62" s="134"/>
      <c r="F62" s="134"/>
      <c r="G62" s="134"/>
      <c r="H62" s="134"/>
      <c r="I62" s="134"/>
      <c r="J62" s="38"/>
      <c r="K62" s="99"/>
      <c r="L62" s="99"/>
      <c r="M62" s="119"/>
      <c r="N62" s="99"/>
      <c r="O62" s="99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135"/>
      <c r="CE62" s="28"/>
      <c r="CF62" s="28"/>
      <c r="CG62" s="20"/>
      <c r="CH62" s="27"/>
    </row>
    <row r="63" spans="1:86" ht="18.75" x14ac:dyDescent="0.25">
      <c r="A63" s="63"/>
      <c r="B63" s="138"/>
      <c r="C63" s="134"/>
      <c r="D63" s="134"/>
      <c r="E63" s="134"/>
      <c r="F63" s="134"/>
      <c r="G63" s="134"/>
      <c r="H63" s="134"/>
      <c r="I63" s="134"/>
      <c r="J63" s="4"/>
      <c r="K63" s="31"/>
      <c r="L63" s="31"/>
      <c r="M63" s="31"/>
      <c r="N63" s="31"/>
      <c r="O63" s="31"/>
      <c r="P63" s="2"/>
      <c r="Q63" s="2"/>
      <c r="R63" s="14"/>
      <c r="S63" s="40"/>
      <c r="T63" s="40"/>
      <c r="U63" s="40"/>
      <c r="V63" s="38"/>
      <c r="W63" s="38"/>
      <c r="X63" s="38"/>
      <c r="Y63" s="38"/>
      <c r="Z63" s="38"/>
      <c r="AA63" s="38"/>
      <c r="AB63" s="38"/>
      <c r="AC63" s="38"/>
      <c r="AD63" s="38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135"/>
      <c r="CE63" s="28"/>
      <c r="CF63" s="28"/>
      <c r="CG63" s="20"/>
      <c r="CH63" s="27"/>
    </row>
    <row r="64" spans="1:86" ht="18.75" x14ac:dyDescent="0.25">
      <c r="A64" s="63"/>
      <c r="B64" s="138"/>
      <c r="C64" s="134"/>
      <c r="D64" s="134"/>
      <c r="E64" s="134"/>
      <c r="F64" s="134"/>
      <c r="G64" s="134"/>
      <c r="H64" s="134"/>
      <c r="I64" s="134"/>
      <c r="J64" s="4"/>
      <c r="K64" s="31"/>
      <c r="L64" s="31"/>
      <c r="M64" s="31"/>
      <c r="N64" s="31"/>
      <c r="O64" s="31"/>
      <c r="P64" s="2"/>
      <c r="Q64" s="2"/>
      <c r="R64" s="14"/>
      <c r="S64" s="40"/>
      <c r="T64" s="40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135"/>
      <c r="CE64" s="28"/>
      <c r="CF64" s="28"/>
      <c r="CG64" s="20"/>
      <c r="CH64" s="27"/>
    </row>
    <row r="65" spans="1:86" ht="18.75" x14ac:dyDescent="0.25">
      <c r="A65" s="63"/>
      <c r="B65" s="138"/>
      <c r="C65" s="134"/>
      <c r="D65" s="134"/>
      <c r="E65" s="134"/>
      <c r="F65" s="134"/>
      <c r="G65" s="134"/>
      <c r="H65" s="134"/>
      <c r="I65" s="134"/>
      <c r="J65" s="38"/>
      <c r="K65" s="99"/>
      <c r="L65" s="99"/>
      <c r="M65" s="99"/>
      <c r="N65" s="99"/>
      <c r="O65" s="99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135"/>
      <c r="CE65" s="28"/>
      <c r="CF65" s="28"/>
      <c r="CG65" s="20"/>
      <c r="CH65" s="27"/>
    </row>
    <row r="66" spans="1:86" ht="18.75" x14ac:dyDescent="0.25">
      <c r="A66" s="133"/>
      <c r="B66" s="138"/>
      <c r="C66" s="134"/>
      <c r="D66" s="134"/>
      <c r="E66" s="134"/>
      <c r="F66" s="134"/>
      <c r="G66" s="134"/>
      <c r="H66" s="134"/>
      <c r="I66" s="140"/>
      <c r="J66" s="38"/>
      <c r="K66" s="99"/>
      <c r="L66" s="99"/>
      <c r="M66" s="99"/>
      <c r="N66" s="99"/>
      <c r="O66" s="99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135"/>
      <c r="CE66" s="28"/>
      <c r="CF66" s="28"/>
      <c r="CG66" s="20"/>
      <c r="CH66" s="27"/>
    </row>
    <row r="67" spans="1:86" ht="18.75" x14ac:dyDescent="0.25">
      <c r="A67" s="151"/>
      <c r="B67" s="152"/>
      <c r="C67" s="153"/>
      <c r="D67" s="153"/>
      <c r="E67" s="153"/>
      <c r="F67" s="153"/>
      <c r="G67" s="153"/>
      <c r="H67" s="153"/>
      <c r="I67" s="168"/>
      <c r="J67" s="149"/>
      <c r="K67" s="154"/>
      <c r="L67" s="154"/>
      <c r="M67" s="154"/>
      <c r="N67" s="154"/>
      <c r="O67" s="154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9"/>
      <c r="CE67" s="160"/>
      <c r="CF67" s="160"/>
      <c r="CG67" s="88"/>
      <c r="CH67" s="161"/>
    </row>
    <row r="68" spans="1:86" ht="18.75" x14ac:dyDescent="0.25">
      <c r="A68" s="63"/>
      <c r="B68" s="138"/>
      <c r="C68" s="134"/>
      <c r="D68" s="134"/>
      <c r="E68" s="134"/>
      <c r="F68" s="134"/>
      <c r="G68" s="134"/>
      <c r="H68" s="134"/>
      <c r="I68" s="99"/>
      <c r="J68" s="38"/>
      <c r="K68" s="99"/>
      <c r="L68" s="99"/>
      <c r="M68" s="119"/>
      <c r="N68" s="99"/>
      <c r="O68" s="99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135"/>
      <c r="CE68" s="28"/>
      <c r="CF68" s="28"/>
      <c r="CG68" s="20"/>
      <c r="CH68" s="27"/>
    </row>
    <row r="69" spans="1:86" ht="18.75" x14ac:dyDescent="0.25">
      <c r="A69" s="63"/>
      <c r="B69" s="138"/>
      <c r="C69" s="134"/>
      <c r="D69" s="134"/>
      <c r="E69" s="134"/>
      <c r="F69" s="134"/>
      <c r="G69" s="134"/>
      <c r="H69" s="134"/>
      <c r="I69" s="134"/>
      <c r="J69" s="4"/>
      <c r="K69" s="31"/>
      <c r="L69" s="31"/>
      <c r="M69" s="2"/>
      <c r="N69" s="31"/>
      <c r="O69" s="31"/>
      <c r="P69" s="14"/>
      <c r="Q69" s="14"/>
      <c r="R69" s="14"/>
      <c r="S69" s="14"/>
      <c r="T69" s="14"/>
      <c r="U69" s="38"/>
      <c r="V69" s="14"/>
      <c r="W69" s="38"/>
      <c r="X69" s="38"/>
      <c r="Y69" s="14"/>
      <c r="Z69" s="38"/>
      <c r="AA69" s="38"/>
      <c r="AB69" s="38"/>
      <c r="AC69" s="38"/>
      <c r="AD69" s="38"/>
      <c r="AE69" s="2"/>
      <c r="AF69" s="5"/>
      <c r="AG69" s="5"/>
      <c r="AH69" s="14"/>
      <c r="AI69" s="5"/>
      <c r="AJ69" s="5"/>
      <c r="AK69" s="14"/>
      <c r="AL69" s="5"/>
      <c r="AM69" s="5"/>
      <c r="AN69" s="5"/>
      <c r="AO69" s="5"/>
      <c r="AP69" s="5"/>
      <c r="AQ69" s="5"/>
      <c r="AR69" s="5"/>
      <c r="AS69" s="5"/>
      <c r="AT69" s="2"/>
      <c r="AU69" s="5"/>
      <c r="AV69" s="5"/>
      <c r="AW69" s="5"/>
      <c r="AX69" s="5"/>
      <c r="AY69" s="5"/>
      <c r="AZ69" s="2"/>
      <c r="BA69" s="5"/>
      <c r="BB69" s="5"/>
      <c r="BC69" s="2"/>
      <c r="BD69" s="5"/>
      <c r="BE69" s="5"/>
      <c r="BF69" s="14"/>
      <c r="BG69" s="5"/>
      <c r="BH69" s="5"/>
      <c r="BI69" s="5"/>
      <c r="BJ69" s="5"/>
      <c r="BK69" s="5"/>
      <c r="BL69" s="43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135"/>
      <c r="CE69" s="28"/>
      <c r="CF69" s="28"/>
      <c r="CG69" s="20"/>
      <c r="CH69" s="27"/>
    </row>
    <row r="70" spans="1:86" ht="18.75" x14ac:dyDescent="0.25">
      <c r="A70" s="63"/>
      <c r="B70" s="138"/>
      <c r="C70" s="134"/>
      <c r="D70" s="134"/>
      <c r="E70" s="134"/>
      <c r="F70" s="134"/>
      <c r="G70" s="134"/>
      <c r="H70" s="134"/>
      <c r="I70" s="134"/>
      <c r="J70" s="4"/>
      <c r="K70" s="31"/>
      <c r="L70" s="31"/>
      <c r="M70" s="2"/>
      <c r="N70" s="31"/>
      <c r="O70" s="31"/>
      <c r="P70" s="14"/>
      <c r="Q70" s="14"/>
      <c r="R70" s="14"/>
      <c r="S70" s="14"/>
      <c r="T70" s="14"/>
      <c r="U70" s="38"/>
      <c r="V70" s="14"/>
      <c r="W70" s="38"/>
      <c r="X70" s="38"/>
      <c r="Y70" s="14"/>
      <c r="Z70" s="38"/>
      <c r="AA70" s="38"/>
      <c r="AB70" s="38"/>
      <c r="AC70" s="38"/>
      <c r="AD70" s="38"/>
      <c r="AE70" s="2"/>
      <c r="AF70" s="5"/>
      <c r="AG70" s="5"/>
      <c r="AH70" s="14"/>
      <c r="AI70" s="5"/>
      <c r="AJ70" s="5"/>
      <c r="AK70" s="14"/>
      <c r="AL70" s="5"/>
      <c r="AM70" s="5"/>
      <c r="AN70" s="5"/>
      <c r="AO70" s="5"/>
      <c r="AP70" s="5"/>
      <c r="AQ70" s="5"/>
      <c r="AR70" s="5"/>
      <c r="AS70" s="5"/>
      <c r="AT70" s="2"/>
      <c r="AU70" s="5"/>
      <c r="AV70" s="5"/>
      <c r="AW70" s="5"/>
      <c r="AX70" s="5"/>
      <c r="AY70" s="5"/>
      <c r="AZ70" s="2"/>
      <c r="BA70" s="5"/>
      <c r="BB70" s="5"/>
      <c r="BC70" s="2"/>
      <c r="BD70" s="5"/>
      <c r="BE70" s="5"/>
      <c r="BF70" s="14"/>
      <c r="BG70" s="5"/>
      <c r="BH70" s="5"/>
      <c r="BI70" s="5"/>
      <c r="BJ70" s="5"/>
      <c r="BK70" s="5"/>
      <c r="BL70" s="43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135"/>
      <c r="CE70" s="28"/>
      <c r="CF70" s="28"/>
      <c r="CG70" s="20"/>
      <c r="CH70" s="27"/>
    </row>
    <row r="71" spans="1:86" ht="18.75" x14ac:dyDescent="0.25">
      <c r="A71" s="63"/>
      <c r="B71" s="138"/>
      <c r="C71" s="134"/>
      <c r="D71" s="134"/>
      <c r="E71" s="134"/>
      <c r="F71" s="134"/>
      <c r="G71" s="134"/>
      <c r="H71" s="134"/>
      <c r="I71" s="134"/>
      <c r="J71" s="4"/>
      <c r="K71" s="31"/>
      <c r="L71" s="31"/>
      <c r="M71" s="2"/>
      <c r="N71" s="31"/>
      <c r="O71" s="31"/>
      <c r="P71" s="14"/>
      <c r="Q71" s="14"/>
      <c r="R71" s="14"/>
      <c r="S71" s="14"/>
      <c r="T71" s="14"/>
      <c r="U71" s="38"/>
      <c r="V71" s="14"/>
      <c r="W71" s="38"/>
      <c r="X71" s="38"/>
      <c r="Y71" s="14"/>
      <c r="Z71" s="38"/>
      <c r="AA71" s="38"/>
      <c r="AB71" s="38"/>
      <c r="AC71" s="38"/>
      <c r="AD71" s="38"/>
      <c r="AE71" s="2"/>
      <c r="AF71" s="5"/>
      <c r="AG71" s="5"/>
      <c r="AH71" s="14"/>
      <c r="AI71" s="5"/>
      <c r="AJ71" s="5"/>
      <c r="AK71" s="14"/>
      <c r="AL71" s="5"/>
      <c r="AM71" s="5"/>
      <c r="AN71" s="5"/>
      <c r="AO71" s="5"/>
      <c r="AP71" s="5"/>
      <c r="AQ71" s="5"/>
      <c r="AR71" s="5"/>
      <c r="AS71" s="5"/>
      <c r="AT71" s="2"/>
      <c r="AU71" s="5"/>
      <c r="AV71" s="5"/>
      <c r="AW71" s="5"/>
      <c r="AX71" s="5"/>
      <c r="AY71" s="5"/>
      <c r="AZ71" s="2"/>
      <c r="BA71" s="5"/>
      <c r="BB71" s="5"/>
      <c r="BC71" s="2"/>
      <c r="BD71" s="5"/>
      <c r="BE71" s="5"/>
      <c r="BF71" s="14"/>
      <c r="BG71" s="5"/>
      <c r="BH71" s="5"/>
      <c r="BI71" s="5"/>
      <c r="BJ71" s="5"/>
      <c r="BK71" s="5"/>
      <c r="BL71" s="43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135"/>
      <c r="CE71" s="28"/>
      <c r="CF71" s="28"/>
      <c r="CG71" s="20"/>
      <c r="CH71" s="27"/>
    </row>
    <row r="72" spans="1:86" ht="18.75" x14ac:dyDescent="0.25">
      <c r="A72" s="63"/>
      <c r="B72" s="138"/>
      <c r="C72" s="134"/>
      <c r="D72" s="134"/>
      <c r="E72" s="134"/>
      <c r="F72" s="134"/>
      <c r="G72" s="134"/>
      <c r="H72" s="134"/>
      <c r="I72" s="134"/>
      <c r="J72" s="2"/>
      <c r="K72" s="31"/>
      <c r="L72" s="31"/>
      <c r="M72" s="32"/>
      <c r="N72" s="31"/>
      <c r="O72" s="31"/>
      <c r="P72" s="2"/>
      <c r="Q72" s="38"/>
      <c r="R72" s="38"/>
      <c r="S72" s="40"/>
      <c r="T72" s="38"/>
      <c r="U72" s="38"/>
      <c r="V72" s="2"/>
      <c r="W72" s="38"/>
      <c r="X72" s="38"/>
      <c r="Y72" s="2"/>
      <c r="Z72" s="38"/>
      <c r="AA72" s="38"/>
      <c r="AB72" s="2"/>
      <c r="AC72" s="38"/>
      <c r="AD72" s="38"/>
      <c r="AE72" s="5"/>
      <c r="AF72" s="5"/>
      <c r="AG72" s="5"/>
      <c r="AH72" s="2"/>
      <c r="AI72" s="5"/>
      <c r="AJ72" s="5"/>
      <c r="AK72" s="2"/>
      <c r="AL72" s="5"/>
      <c r="AM72" s="5"/>
      <c r="AN72" s="14"/>
      <c r="AO72" s="5"/>
      <c r="AP72" s="5"/>
      <c r="AQ72" s="14"/>
      <c r="AR72" s="5"/>
      <c r="AS72" s="5"/>
      <c r="AT72" s="2"/>
      <c r="AU72" s="5"/>
      <c r="AV72" s="5"/>
      <c r="AW72" s="2"/>
      <c r="AX72" s="5"/>
      <c r="AY72" s="5"/>
      <c r="AZ72" s="2"/>
      <c r="BA72" s="5"/>
      <c r="BB72" s="5"/>
      <c r="BC72" s="2"/>
      <c r="BD72" s="5"/>
      <c r="BE72" s="5"/>
      <c r="BF72" s="2"/>
      <c r="BG72" s="5"/>
      <c r="BH72" s="5"/>
      <c r="BI72" s="2"/>
      <c r="BJ72" s="5"/>
      <c r="BK72" s="5"/>
      <c r="BL72" s="16"/>
      <c r="BM72" s="5"/>
      <c r="BN72" s="5"/>
      <c r="BO72" s="2"/>
      <c r="BP72" s="5"/>
      <c r="BQ72" s="5"/>
      <c r="BR72" s="14"/>
      <c r="BS72" s="5"/>
      <c r="BT72" s="5"/>
      <c r="BU72" s="2"/>
      <c r="BV72" s="5"/>
      <c r="BW72" s="5"/>
      <c r="BX72" s="5"/>
      <c r="BY72" s="5"/>
      <c r="BZ72" s="5"/>
      <c r="CA72" s="2"/>
      <c r="CB72" s="5"/>
      <c r="CC72" s="5"/>
      <c r="CD72" s="135"/>
      <c r="CE72" s="28"/>
      <c r="CF72" s="28"/>
      <c r="CG72" s="20"/>
      <c r="CH72" s="27"/>
    </row>
    <row r="73" spans="1:86" ht="18.75" x14ac:dyDescent="0.25">
      <c r="A73" s="63"/>
      <c r="B73" s="138"/>
      <c r="C73" s="134"/>
      <c r="D73" s="134"/>
      <c r="E73" s="134"/>
      <c r="F73" s="134"/>
      <c r="G73" s="134"/>
      <c r="H73" s="134"/>
      <c r="I73" s="134"/>
      <c r="J73" s="2"/>
      <c r="K73" s="32"/>
      <c r="L73" s="32"/>
      <c r="M73" s="2"/>
      <c r="N73" s="2"/>
      <c r="O73" s="32"/>
      <c r="P73" s="2"/>
      <c r="Q73" s="2"/>
      <c r="R73" s="2"/>
      <c r="S73" s="40"/>
      <c r="T73" s="40"/>
      <c r="U73" s="40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16"/>
      <c r="AI73" s="16"/>
      <c r="AJ73" s="2"/>
      <c r="AK73" s="16"/>
      <c r="AL73" s="16"/>
      <c r="AM73" s="2"/>
      <c r="AN73" s="2"/>
      <c r="AO73" s="2"/>
      <c r="AP73" s="2"/>
      <c r="AQ73" s="2"/>
      <c r="AR73" s="16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135"/>
      <c r="CE73" s="28"/>
      <c r="CF73" s="28"/>
      <c r="CG73" s="20"/>
      <c r="CH73" s="27"/>
    </row>
    <row r="74" spans="1:86" ht="18.75" x14ac:dyDescent="0.25">
      <c r="A74" s="63"/>
      <c r="B74" s="138"/>
      <c r="C74" s="134"/>
      <c r="D74" s="134"/>
      <c r="E74" s="134"/>
      <c r="F74" s="134"/>
      <c r="G74" s="134"/>
      <c r="H74" s="134"/>
      <c r="I74" s="134"/>
      <c r="J74" s="38"/>
      <c r="K74" s="99"/>
      <c r="L74" s="99"/>
      <c r="M74" s="99"/>
      <c r="N74" s="99"/>
      <c r="O74" s="99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135"/>
      <c r="CE74" s="28"/>
      <c r="CF74" s="28"/>
      <c r="CG74" s="20"/>
      <c r="CH74" s="27"/>
    </row>
    <row r="75" spans="1:86" ht="18.75" x14ac:dyDescent="0.25">
      <c r="A75" s="63"/>
      <c r="B75" s="138"/>
      <c r="C75" s="134"/>
      <c r="D75" s="134"/>
      <c r="E75" s="134"/>
      <c r="F75" s="134"/>
      <c r="G75" s="134"/>
      <c r="H75" s="134"/>
      <c r="I75" s="134"/>
      <c r="J75" s="38"/>
      <c r="K75" s="99"/>
      <c r="L75" s="99"/>
      <c r="M75" s="99"/>
      <c r="N75" s="99"/>
      <c r="O75" s="99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135"/>
      <c r="CE75" s="28"/>
      <c r="CF75" s="28"/>
      <c r="CG75" s="20"/>
      <c r="CH75" s="27"/>
    </row>
    <row r="76" spans="1:86" ht="18.75" x14ac:dyDescent="0.25">
      <c r="A76" s="63"/>
      <c r="B76" s="138"/>
      <c r="C76" s="134"/>
      <c r="D76" s="134"/>
      <c r="E76" s="134"/>
      <c r="F76" s="134"/>
      <c r="G76" s="134"/>
      <c r="H76" s="134"/>
      <c r="I76" s="134"/>
      <c r="J76" s="4"/>
      <c r="K76" s="31"/>
      <c r="L76" s="31"/>
      <c r="M76" s="31"/>
      <c r="N76" s="31"/>
      <c r="O76" s="31"/>
      <c r="P76" s="2"/>
      <c r="Q76" s="2"/>
      <c r="R76" s="2"/>
      <c r="S76" s="2"/>
      <c r="T76" s="2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135"/>
      <c r="CE76" s="28"/>
      <c r="CF76" s="28"/>
      <c r="CG76" s="20"/>
      <c r="CH76" s="27"/>
    </row>
    <row r="77" spans="1:86" ht="18.75" x14ac:dyDescent="0.25">
      <c r="A77" s="63"/>
      <c r="B77" s="138"/>
      <c r="C77" s="134"/>
      <c r="D77" s="134"/>
      <c r="E77" s="134"/>
      <c r="F77" s="134"/>
      <c r="G77" s="134"/>
      <c r="H77" s="134"/>
      <c r="I77" s="134"/>
      <c r="J77" s="38"/>
      <c r="K77" s="99"/>
      <c r="L77" s="99"/>
      <c r="M77" s="99"/>
      <c r="N77" s="99"/>
      <c r="O77" s="99"/>
      <c r="P77" s="2"/>
      <c r="Q77" s="2"/>
      <c r="R77" s="2"/>
      <c r="S77" s="2"/>
      <c r="T77" s="2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135"/>
      <c r="CE77" s="28"/>
      <c r="CF77" s="28"/>
      <c r="CG77" s="20"/>
      <c r="CH77" s="27"/>
    </row>
    <row r="78" spans="1:86" ht="18.75" x14ac:dyDescent="0.25">
      <c r="A78" s="63"/>
      <c r="B78" s="138"/>
      <c r="C78" s="134"/>
      <c r="D78" s="134"/>
      <c r="E78" s="134"/>
      <c r="F78" s="134"/>
      <c r="G78" s="134"/>
      <c r="H78" s="134"/>
      <c r="I78" s="134"/>
      <c r="J78" s="4"/>
      <c r="K78" s="31"/>
      <c r="L78" s="31"/>
      <c r="M78" s="2"/>
      <c r="N78" s="31"/>
      <c r="O78" s="31"/>
      <c r="P78" s="38"/>
      <c r="Q78" s="38"/>
      <c r="R78" s="38"/>
      <c r="S78" s="14"/>
      <c r="T78" s="38"/>
      <c r="U78" s="38"/>
      <c r="V78" s="14"/>
      <c r="W78" s="38"/>
      <c r="X78" s="38"/>
      <c r="Y78" s="14"/>
      <c r="Z78" s="38"/>
      <c r="AA78" s="38"/>
      <c r="AB78" s="38"/>
      <c r="AC78" s="38"/>
      <c r="AD78" s="38"/>
      <c r="AE78" s="2"/>
      <c r="AF78" s="5"/>
      <c r="AG78" s="5"/>
      <c r="AH78" s="14"/>
      <c r="AI78" s="5"/>
      <c r="AJ78" s="5"/>
      <c r="AK78" s="14"/>
      <c r="AL78" s="5"/>
      <c r="AM78" s="5"/>
      <c r="AN78" s="5"/>
      <c r="AO78" s="5"/>
      <c r="AP78" s="5"/>
      <c r="AQ78" s="5"/>
      <c r="AR78" s="5"/>
      <c r="AS78" s="5"/>
      <c r="AT78" s="2"/>
      <c r="AU78" s="5"/>
      <c r="AV78" s="5"/>
      <c r="AW78" s="5"/>
      <c r="AX78" s="5"/>
      <c r="AY78" s="5"/>
      <c r="AZ78" s="2"/>
      <c r="BA78" s="5"/>
      <c r="BB78" s="5"/>
      <c r="BC78" s="2"/>
      <c r="BD78" s="5"/>
      <c r="BE78" s="5"/>
      <c r="BF78" s="14"/>
      <c r="BG78" s="5"/>
      <c r="BH78" s="5"/>
      <c r="BI78" s="5"/>
      <c r="BJ78" s="5"/>
      <c r="BK78" s="5"/>
      <c r="BL78" s="43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135"/>
      <c r="CE78" s="28"/>
      <c r="CF78" s="28"/>
      <c r="CG78" s="20"/>
      <c r="CH78" s="27"/>
    </row>
    <row r="79" spans="1:86" ht="18.75" x14ac:dyDescent="0.25">
      <c r="A79" s="63"/>
      <c r="B79" s="138"/>
      <c r="C79" s="134"/>
      <c r="D79" s="134"/>
      <c r="E79" s="134"/>
      <c r="F79" s="134"/>
      <c r="G79" s="134"/>
      <c r="H79" s="134"/>
      <c r="I79" s="134"/>
      <c r="J79" s="4"/>
      <c r="K79" s="31"/>
      <c r="L79" s="31"/>
      <c r="M79" s="2"/>
      <c r="N79" s="31"/>
      <c r="O79" s="31"/>
      <c r="P79" s="38"/>
      <c r="Q79" s="38"/>
      <c r="R79" s="38"/>
      <c r="S79" s="14"/>
      <c r="T79" s="38"/>
      <c r="U79" s="38"/>
      <c r="V79" s="14"/>
      <c r="W79" s="38"/>
      <c r="X79" s="38"/>
      <c r="Y79" s="14"/>
      <c r="Z79" s="38"/>
      <c r="AA79" s="38"/>
      <c r="AB79" s="38"/>
      <c r="AC79" s="38"/>
      <c r="AD79" s="38"/>
      <c r="AE79" s="2"/>
      <c r="AF79" s="5"/>
      <c r="AG79" s="5"/>
      <c r="AH79" s="14"/>
      <c r="AI79" s="5"/>
      <c r="AJ79" s="5"/>
      <c r="AK79" s="14"/>
      <c r="AL79" s="5"/>
      <c r="AM79" s="5"/>
      <c r="AN79" s="5"/>
      <c r="AO79" s="5"/>
      <c r="AP79" s="5"/>
      <c r="AQ79" s="5"/>
      <c r="AR79" s="5"/>
      <c r="AS79" s="5"/>
      <c r="AT79" s="2"/>
      <c r="AU79" s="5"/>
      <c r="AV79" s="5"/>
      <c r="AW79" s="5"/>
      <c r="AX79" s="5"/>
      <c r="AY79" s="5"/>
      <c r="AZ79" s="2"/>
      <c r="BA79" s="5"/>
      <c r="BB79" s="5"/>
      <c r="BC79" s="2"/>
      <c r="BD79" s="5"/>
      <c r="BE79" s="5"/>
      <c r="BF79" s="14"/>
      <c r="BG79" s="5"/>
      <c r="BH79" s="5"/>
      <c r="BI79" s="5"/>
      <c r="BJ79" s="5"/>
      <c r="BK79" s="5"/>
      <c r="BL79" s="43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135"/>
      <c r="CE79" s="28"/>
      <c r="CF79" s="28"/>
      <c r="CG79" s="20"/>
      <c r="CH79" s="27"/>
    </row>
    <row r="80" spans="1:86" ht="18.75" x14ac:dyDescent="0.25">
      <c r="A80" s="63"/>
      <c r="B80" s="138"/>
      <c r="C80" s="134"/>
      <c r="D80" s="134"/>
      <c r="E80" s="134"/>
      <c r="F80" s="134"/>
      <c r="G80" s="134"/>
      <c r="H80" s="134"/>
      <c r="I80" s="134"/>
      <c r="J80" s="4"/>
      <c r="K80" s="31"/>
      <c r="L80" s="31"/>
      <c r="M80" s="2"/>
      <c r="N80" s="31"/>
      <c r="O80" s="31"/>
      <c r="P80" s="38"/>
      <c r="Q80" s="38"/>
      <c r="R80" s="38"/>
      <c r="S80" s="14"/>
      <c r="T80" s="38"/>
      <c r="U80" s="38"/>
      <c r="V80" s="14"/>
      <c r="W80" s="38"/>
      <c r="X80" s="38"/>
      <c r="Y80" s="14"/>
      <c r="Z80" s="38"/>
      <c r="AA80" s="38"/>
      <c r="AB80" s="38"/>
      <c r="AC80" s="38"/>
      <c r="AD80" s="38"/>
      <c r="AE80" s="2"/>
      <c r="AF80" s="5"/>
      <c r="AG80" s="5"/>
      <c r="AH80" s="14"/>
      <c r="AI80" s="5"/>
      <c r="AJ80" s="5"/>
      <c r="AK80" s="14"/>
      <c r="AL80" s="5"/>
      <c r="AM80" s="5"/>
      <c r="AN80" s="5"/>
      <c r="AO80" s="5"/>
      <c r="AP80" s="5"/>
      <c r="AQ80" s="5"/>
      <c r="AR80" s="5"/>
      <c r="AS80" s="5"/>
      <c r="AT80" s="2"/>
      <c r="AU80" s="5"/>
      <c r="AV80" s="5"/>
      <c r="AW80" s="5"/>
      <c r="AX80" s="5"/>
      <c r="AY80" s="5"/>
      <c r="AZ80" s="2"/>
      <c r="BA80" s="5"/>
      <c r="BB80" s="5"/>
      <c r="BC80" s="2"/>
      <c r="BD80" s="5"/>
      <c r="BE80" s="5"/>
      <c r="BF80" s="14"/>
      <c r="BG80" s="5"/>
      <c r="BH80" s="5"/>
      <c r="BI80" s="5"/>
      <c r="BJ80" s="5"/>
      <c r="BK80" s="5"/>
      <c r="BL80" s="43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135"/>
      <c r="CE80" s="28"/>
      <c r="CF80" s="28"/>
      <c r="CG80" s="20"/>
      <c r="CH80" s="27"/>
    </row>
    <row r="81" spans="1:86" ht="18.75" x14ac:dyDescent="0.25">
      <c r="A81" s="63"/>
      <c r="B81" s="138"/>
      <c r="C81" s="134"/>
      <c r="D81" s="134"/>
      <c r="E81" s="134"/>
      <c r="F81" s="134"/>
      <c r="G81" s="134"/>
      <c r="H81" s="134"/>
      <c r="I81" s="134"/>
      <c r="J81" s="4"/>
      <c r="K81" s="31"/>
      <c r="L81" s="31"/>
      <c r="M81" s="32"/>
      <c r="N81" s="31"/>
      <c r="O81" s="31"/>
      <c r="P81" s="14"/>
      <c r="Q81" s="14"/>
      <c r="R81" s="14"/>
      <c r="S81" s="14"/>
      <c r="T81" s="14"/>
      <c r="U81" s="14"/>
      <c r="V81" s="38"/>
      <c r="W81" s="38"/>
      <c r="X81" s="38"/>
      <c r="Y81" s="38"/>
      <c r="Z81" s="38"/>
      <c r="AA81" s="38"/>
      <c r="AB81" s="38"/>
      <c r="AC81" s="38"/>
      <c r="AD81" s="38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135"/>
      <c r="CE81" s="28"/>
      <c r="CF81" s="28"/>
      <c r="CG81" s="20"/>
      <c r="CH81" s="27"/>
    </row>
    <row r="82" spans="1:86" ht="18.75" x14ac:dyDescent="0.25">
      <c r="A82" s="63"/>
      <c r="B82" s="138"/>
      <c r="C82" s="134"/>
      <c r="D82" s="134"/>
      <c r="E82" s="134"/>
      <c r="F82" s="134"/>
      <c r="G82" s="134"/>
      <c r="H82" s="134"/>
      <c r="I82" s="134"/>
      <c r="J82" s="38"/>
      <c r="K82" s="99"/>
      <c r="L82" s="99"/>
      <c r="M82" s="99"/>
      <c r="N82" s="99"/>
      <c r="O82" s="99"/>
      <c r="P82" s="14"/>
      <c r="Q82" s="14"/>
      <c r="R82" s="14"/>
      <c r="S82" s="14"/>
      <c r="T82" s="14"/>
      <c r="U82" s="14"/>
      <c r="V82" s="38"/>
      <c r="W82" s="38"/>
      <c r="X82" s="38"/>
      <c r="Y82" s="38"/>
      <c r="Z82" s="38"/>
      <c r="AA82" s="38"/>
      <c r="AB82" s="38"/>
      <c r="AC82" s="38"/>
      <c r="AD82" s="38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135"/>
      <c r="CE82" s="28"/>
      <c r="CF82" s="28"/>
      <c r="CG82" s="20"/>
      <c r="CH82" s="27"/>
    </row>
    <row r="83" spans="1:86" ht="18.75" x14ac:dyDescent="0.25">
      <c r="A83" s="63"/>
      <c r="B83" s="138"/>
      <c r="C83" s="134"/>
      <c r="D83" s="134"/>
      <c r="E83" s="134"/>
      <c r="F83" s="134"/>
      <c r="G83" s="134"/>
      <c r="H83" s="134"/>
      <c r="I83" s="134"/>
      <c r="J83" s="38"/>
      <c r="K83" s="99"/>
      <c r="L83" s="99"/>
      <c r="M83" s="99"/>
      <c r="N83" s="99"/>
      <c r="O83" s="99"/>
      <c r="P83" s="14"/>
      <c r="Q83" s="14"/>
      <c r="R83" s="14"/>
      <c r="S83" s="14"/>
      <c r="T83" s="14"/>
      <c r="U83" s="14"/>
      <c r="V83" s="38"/>
      <c r="W83" s="38"/>
      <c r="X83" s="38"/>
      <c r="Y83" s="38"/>
      <c r="Z83" s="38"/>
      <c r="AA83" s="38"/>
      <c r="AB83" s="38"/>
      <c r="AC83" s="38"/>
      <c r="AD83" s="38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135"/>
      <c r="CE83" s="28"/>
      <c r="CF83" s="28"/>
      <c r="CG83" s="20"/>
      <c r="CH83" s="27"/>
    </row>
    <row r="84" spans="1:86" ht="18.75" x14ac:dyDescent="0.25">
      <c r="A84" s="63"/>
      <c r="B84" s="138"/>
      <c r="C84" s="134"/>
      <c r="D84" s="134"/>
      <c r="E84" s="134"/>
      <c r="F84" s="134"/>
      <c r="G84" s="134"/>
      <c r="H84" s="134"/>
      <c r="I84" s="134"/>
      <c r="J84" s="38"/>
      <c r="K84" s="99"/>
      <c r="L84" s="99"/>
      <c r="M84" s="99"/>
      <c r="N84" s="99"/>
      <c r="O84" s="99"/>
      <c r="P84" s="14"/>
      <c r="Q84" s="14"/>
      <c r="R84" s="14"/>
      <c r="S84" s="14"/>
      <c r="T84" s="14"/>
      <c r="U84" s="14"/>
      <c r="V84" s="38"/>
      <c r="W84" s="38"/>
      <c r="X84" s="38"/>
      <c r="Y84" s="38"/>
      <c r="Z84" s="38"/>
      <c r="AA84" s="38"/>
      <c r="AB84" s="38"/>
      <c r="AC84" s="38"/>
      <c r="AD84" s="38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135"/>
      <c r="CE84" s="28"/>
      <c r="CF84" s="28"/>
      <c r="CG84" s="20"/>
      <c r="CH84" s="27"/>
    </row>
    <row r="85" spans="1:86" ht="18.75" x14ac:dyDescent="0.25">
      <c r="A85" s="63"/>
      <c r="B85" s="138"/>
      <c r="C85" s="134"/>
      <c r="D85" s="134"/>
      <c r="E85" s="134"/>
      <c r="F85" s="134"/>
      <c r="G85" s="134"/>
      <c r="H85" s="134"/>
      <c r="I85" s="134"/>
      <c r="J85" s="38"/>
      <c r="K85" s="99"/>
      <c r="L85" s="99"/>
      <c r="M85" s="99"/>
      <c r="N85" s="99"/>
      <c r="O85" s="99"/>
      <c r="P85" s="14"/>
      <c r="Q85" s="14"/>
      <c r="R85" s="14"/>
      <c r="S85" s="14"/>
      <c r="T85" s="14"/>
      <c r="U85" s="14"/>
      <c r="V85" s="38"/>
      <c r="W85" s="38"/>
      <c r="X85" s="38"/>
      <c r="Y85" s="38"/>
      <c r="Z85" s="38"/>
      <c r="AA85" s="38"/>
      <c r="AB85" s="38"/>
      <c r="AC85" s="38"/>
      <c r="AD85" s="38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135"/>
      <c r="CE85" s="28"/>
      <c r="CF85" s="28"/>
      <c r="CG85" s="20"/>
      <c r="CH85" s="27"/>
    </row>
    <row r="86" spans="1:86" ht="18.75" x14ac:dyDescent="0.25">
      <c r="A86" s="63"/>
      <c r="B86" s="138"/>
      <c r="C86" s="134"/>
      <c r="D86" s="134"/>
      <c r="E86" s="134"/>
      <c r="F86" s="134"/>
      <c r="G86" s="134"/>
      <c r="H86" s="134"/>
      <c r="I86" s="134"/>
      <c r="J86" s="4"/>
      <c r="K86" s="31"/>
      <c r="L86" s="31"/>
      <c r="M86" s="2"/>
      <c r="N86" s="31"/>
      <c r="O86" s="31"/>
      <c r="P86" s="38"/>
      <c r="Q86" s="38"/>
      <c r="R86" s="38"/>
      <c r="S86" s="14"/>
      <c r="T86" s="14"/>
      <c r="U86" s="38"/>
      <c r="V86" s="14"/>
      <c r="W86" s="38"/>
      <c r="X86" s="38"/>
      <c r="Y86" s="14"/>
      <c r="Z86" s="38"/>
      <c r="AA86" s="38"/>
      <c r="AB86" s="38"/>
      <c r="AC86" s="38"/>
      <c r="AD86" s="38"/>
      <c r="AE86" s="2"/>
      <c r="AF86" s="5"/>
      <c r="AG86" s="5"/>
      <c r="AH86" s="14"/>
      <c r="AI86" s="5"/>
      <c r="AJ86" s="5"/>
      <c r="AK86" s="14"/>
      <c r="AL86" s="5"/>
      <c r="AM86" s="5"/>
      <c r="AN86" s="5"/>
      <c r="AO86" s="5"/>
      <c r="AP86" s="5"/>
      <c r="AQ86" s="5"/>
      <c r="AR86" s="5"/>
      <c r="AS86" s="5"/>
      <c r="AT86" s="2"/>
      <c r="AU86" s="5"/>
      <c r="AV86" s="5"/>
      <c r="AW86" s="5"/>
      <c r="AX86" s="5"/>
      <c r="AY86" s="5"/>
      <c r="AZ86" s="2"/>
      <c r="BA86" s="5"/>
      <c r="BB86" s="5"/>
      <c r="BC86" s="2"/>
      <c r="BD86" s="5"/>
      <c r="BE86" s="5"/>
      <c r="BF86" s="14"/>
      <c r="BG86" s="5"/>
      <c r="BH86" s="5"/>
      <c r="BI86" s="5"/>
      <c r="BJ86" s="5"/>
      <c r="BK86" s="5"/>
      <c r="BL86" s="43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135"/>
      <c r="CE86" s="28"/>
      <c r="CF86" s="28"/>
      <c r="CG86" s="20"/>
      <c r="CH86" s="27"/>
    </row>
    <row r="87" spans="1:86" ht="18.75" x14ac:dyDescent="0.25">
      <c r="A87" s="63"/>
      <c r="B87" s="138"/>
      <c r="C87" s="134"/>
      <c r="D87" s="134"/>
      <c r="E87" s="134"/>
      <c r="F87" s="134"/>
      <c r="G87" s="134"/>
      <c r="H87" s="134"/>
      <c r="I87" s="134"/>
      <c r="J87" s="4"/>
      <c r="K87" s="31"/>
      <c r="L87" s="31"/>
      <c r="M87" s="2"/>
      <c r="N87" s="31"/>
      <c r="O87" s="31"/>
      <c r="P87" s="38"/>
      <c r="Q87" s="38"/>
      <c r="R87" s="38"/>
      <c r="S87" s="14"/>
      <c r="T87" s="38"/>
      <c r="U87" s="38"/>
      <c r="V87" s="14"/>
      <c r="W87" s="38"/>
      <c r="X87" s="38"/>
      <c r="Y87" s="14"/>
      <c r="Z87" s="38"/>
      <c r="AA87" s="38"/>
      <c r="AB87" s="38"/>
      <c r="AC87" s="38"/>
      <c r="AD87" s="38"/>
      <c r="AE87" s="2"/>
      <c r="AF87" s="5"/>
      <c r="AG87" s="5"/>
      <c r="AH87" s="14"/>
      <c r="AI87" s="5"/>
      <c r="AJ87" s="5"/>
      <c r="AK87" s="14"/>
      <c r="AL87" s="5"/>
      <c r="AM87" s="5"/>
      <c r="AN87" s="5"/>
      <c r="AO87" s="5"/>
      <c r="AP87" s="5"/>
      <c r="AQ87" s="5"/>
      <c r="AR87" s="5"/>
      <c r="AS87" s="5"/>
      <c r="AT87" s="2"/>
      <c r="AU87" s="5"/>
      <c r="AV87" s="5"/>
      <c r="AW87" s="5"/>
      <c r="AX87" s="5"/>
      <c r="AY87" s="5"/>
      <c r="AZ87" s="2"/>
      <c r="BA87" s="5"/>
      <c r="BB87" s="5"/>
      <c r="BC87" s="2"/>
      <c r="BD87" s="5"/>
      <c r="BE87" s="5"/>
      <c r="BF87" s="14"/>
      <c r="BG87" s="5"/>
      <c r="BH87" s="5"/>
      <c r="BI87" s="5"/>
      <c r="BJ87" s="5"/>
      <c r="BK87" s="5"/>
      <c r="BL87" s="43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135"/>
      <c r="CE87" s="28"/>
      <c r="CF87" s="28"/>
      <c r="CG87" s="20"/>
      <c r="CH87" s="27"/>
    </row>
    <row r="88" spans="1:86" ht="18.75" x14ac:dyDescent="0.25">
      <c r="A88" s="63"/>
      <c r="B88" s="138"/>
      <c r="C88" s="134"/>
      <c r="D88" s="134"/>
      <c r="E88" s="134"/>
      <c r="F88" s="134"/>
      <c r="G88" s="134"/>
      <c r="H88" s="134"/>
      <c r="I88" s="134"/>
      <c r="J88" s="38"/>
      <c r="K88" s="99"/>
      <c r="L88" s="99"/>
      <c r="M88" s="119"/>
      <c r="N88" s="99"/>
      <c r="O88" s="99"/>
      <c r="P88" s="2"/>
      <c r="Q88" s="2"/>
      <c r="R88" s="2"/>
      <c r="S88" s="2"/>
      <c r="T88" s="2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135"/>
      <c r="CE88" s="28"/>
      <c r="CF88" s="28"/>
      <c r="CG88" s="20"/>
      <c r="CH88" s="27"/>
    </row>
    <row r="89" spans="1:86" ht="18.75" x14ac:dyDescent="0.25">
      <c r="A89" s="63"/>
      <c r="B89" s="138"/>
      <c r="C89" s="134"/>
      <c r="D89" s="134"/>
      <c r="E89" s="134"/>
      <c r="F89" s="134"/>
      <c r="G89" s="134"/>
      <c r="H89" s="134"/>
      <c r="I89" s="134"/>
      <c r="J89" s="4"/>
      <c r="K89" s="31"/>
      <c r="L89" s="31"/>
      <c r="M89" s="2"/>
      <c r="N89" s="31"/>
      <c r="O89" s="31"/>
      <c r="P89" s="2"/>
      <c r="Q89" s="2"/>
      <c r="R89" s="2"/>
      <c r="S89" s="2"/>
      <c r="T89" s="2"/>
      <c r="U89" s="38"/>
      <c r="V89" s="14"/>
      <c r="W89" s="38"/>
      <c r="X89" s="38"/>
      <c r="Y89" s="14"/>
      <c r="Z89" s="38"/>
      <c r="AA89" s="38"/>
      <c r="AB89" s="38"/>
      <c r="AC89" s="38"/>
      <c r="AD89" s="38"/>
      <c r="AE89" s="2"/>
      <c r="AF89" s="5"/>
      <c r="AG89" s="5"/>
      <c r="AH89" s="14"/>
      <c r="AI89" s="5"/>
      <c r="AJ89" s="5"/>
      <c r="AK89" s="14"/>
      <c r="AL89" s="5"/>
      <c r="AM89" s="5"/>
      <c r="AN89" s="5"/>
      <c r="AO89" s="5"/>
      <c r="AP89" s="5"/>
      <c r="AQ89" s="5"/>
      <c r="AR89" s="5"/>
      <c r="AS89" s="5"/>
      <c r="AT89" s="2"/>
      <c r="AU89" s="5"/>
      <c r="AV89" s="5"/>
      <c r="AW89" s="5"/>
      <c r="AX89" s="5"/>
      <c r="AY89" s="5"/>
      <c r="AZ89" s="2"/>
      <c r="BA89" s="5"/>
      <c r="BB89" s="5"/>
      <c r="BC89" s="2"/>
      <c r="BD89" s="5"/>
      <c r="BE89" s="5"/>
      <c r="BF89" s="14"/>
      <c r="BG89" s="5"/>
      <c r="BH89" s="5"/>
      <c r="BI89" s="5"/>
      <c r="BJ89" s="5"/>
      <c r="BK89" s="5"/>
      <c r="BL89" s="43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135"/>
      <c r="CE89" s="28"/>
      <c r="CF89" s="28"/>
      <c r="CG89" s="20"/>
      <c r="CH89" s="27"/>
    </row>
    <row r="90" spans="1:86" ht="18.75" x14ac:dyDescent="0.25">
      <c r="A90" s="63"/>
      <c r="B90" s="138"/>
      <c r="C90" s="134"/>
      <c r="D90" s="134"/>
      <c r="E90" s="134"/>
      <c r="F90" s="134"/>
      <c r="G90" s="134"/>
      <c r="H90" s="134"/>
      <c r="I90" s="134"/>
      <c r="J90" s="38"/>
      <c r="K90" s="99"/>
      <c r="L90" s="99"/>
      <c r="M90" s="119"/>
      <c r="N90" s="99"/>
      <c r="O90" s="99"/>
      <c r="P90" s="2"/>
      <c r="Q90" s="2"/>
      <c r="R90" s="2"/>
      <c r="S90" s="2"/>
      <c r="T90" s="2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135"/>
      <c r="CE90" s="28"/>
      <c r="CF90" s="28"/>
      <c r="CG90" s="20"/>
      <c r="CH90" s="27"/>
    </row>
    <row r="91" spans="1:86" ht="18.75" x14ac:dyDescent="0.25">
      <c r="A91" s="63"/>
      <c r="B91" s="138"/>
      <c r="C91" s="134"/>
      <c r="D91" s="134"/>
      <c r="E91" s="134"/>
      <c r="F91" s="134"/>
      <c r="G91" s="134"/>
      <c r="H91" s="134"/>
      <c r="I91" s="134"/>
      <c r="J91" s="4"/>
      <c r="K91" s="31"/>
      <c r="L91" s="31"/>
      <c r="M91" s="31"/>
      <c r="N91" s="31"/>
      <c r="O91" s="31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135"/>
      <c r="CE91" s="28"/>
      <c r="CF91" s="28"/>
      <c r="CG91" s="20"/>
      <c r="CH91" s="27"/>
    </row>
    <row r="92" spans="1:86" ht="18.75" x14ac:dyDescent="0.25">
      <c r="A92" s="63"/>
      <c r="B92" s="138"/>
      <c r="C92" s="134"/>
      <c r="D92" s="134"/>
      <c r="E92" s="134"/>
      <c r="F92" s="134"/>
      <c r="G92" s="134"/>
      <c r="H92" s="134"/>
      <c r="I92" s="134"/>
      <c r="J92" s="4"/>
      <c r="K92" s="31"/>
      <c r="L92" s="31"/>
      <c r="M92" s="31"/>
      <c r="N92" s="31"/>
      <c r="O92" s="31"/>
      <c r="P92" s="2"/>
      <c r="Q92" s="38"/>
      <c r="R92" s="38"/>
      <c r="S92" s="2"/>
      <c r="T92" s="38"/>
      <c r="U92" s="38"/>
      <c r="V92" s="5"/>
      <c r="W92" s="38"/>
      <c r="X92" s="38"/>
      <c r="Y92" s="38"/>
      <c r="Z92" s="38"/>
      <c r="AA92" s="38"/>
      <c r="AB92" s="38"/>
      <c r="AC92" s="38"/>
      <c r="AD92" s="38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135"/>
      <c r="CE92" s="28"/>
      <c r="CF92" s="28"/>
      <c r="CG92" s="20"/>
      <c r="CH92" s="27"/>
    </row>
    <row r="93" spans="1:86" ht="18.75" x14ac:dyDescent="0.25">
      <c r="A93" s="63"/>
      <c r="B93" s="138"/>
      <c r="C93" s="134"/>
      <c r="D93" s="134"/>
      <c r="E93" s="134"/>
      <c r="F93" s="134"/>
      <c r="G93" s="134"/>
      <c r="H93" s="134"/>
      <c r="I93" s="134"/>
      <c r="J93" s="4"/>
      <c r="K93" s="31"/>
      <c r="L93" s="31"/>
      <c r="M93" s="31"/>
      <c r="N93" s="31"/>
      <c r="O93" s="31"/>
      <c r="P93" s="2"/>
      <c r="Q93" s="2"/>
      <c r="R93" s="2"/>
      <c r="S93" s="2"/>
      <c r="T93" s="2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135"/>
      <c r="CE93" s="28"/>
      <c r="CF93" s="28"/>
      <c r="CG93" s="20"/>
      <c r="CH93" s="27"/>
    </row>
    <row r="94" spans="1:86" ht="18.75" x14ac:dyDescent="0.25">
      <c r="A94" s="63"/>
      <c r="B94" s="138"/>
      <c r="C94" s="134"/>
      <c r="D94" s="134"/>
      <c r="E94" s="134"/>
      <c r="F94" s="134"/>
      <c r="G94" s="134"/>
      <c r="H94" s="134"/>
      <c r="I94" s="134"/>
      <c r="J94" s="4"/>
      <c r="K94" s="31"/>
      <c r="L94" s="31"/>
      <c r="M94" s="31"/>
      <c r="N94" s="31"/>
      <c r="O94" s="31"/>
      <c r="P94" s="2"/>
      <c r="Q94" s="2"/>
      <c r="R94" s="2"/>
      <c r="S94" s="2"/>
      <c r="T94" s="2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135"/>
      <c r="CE94" s="28"/>
      <c r="CF94" s="28"/>
      <c r="CG94" s="20"/>
      <c r="CH94" s="27"/>
    </row>
    <row r="95" spans="1:86" ht="18.75" x14ac:dyDescent="0.25">
      <c r="A95" s="63"/>
      <c r="B95" s="138"/>
      <c r="C95" s="134"/>
      <c r="D95" s="134"/>
      <c r="E95" s="134"/>
      <c r="F95" s="134"/>
      <c r="G95" s="134"/>
      <c r="H95" s="134"/>
      <c r="I95" s="134"/>
      <c r="J95" s="4"/>
      <c r="K95" s="31"/>
      <c r="L95" s="31"/>
      <c r="M95" s="31"/>
      <c r="N95" s="31"/>
      <c r="O95" s="31"/>
      <c r="P95" s="2"/>
      <c r="Q95" s="2"/>
      <c r="R95" s="2"/>
      <c r="S95" s="2"/>
      <c r="T95" s="2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135"/>
      <c r="CE95" s="28"/>
      <c r="CF95" s="28"/>
      <c r="CG95" s="20"/>
      <c r="CH95" s="27"/>
    </row>
    <row r="96" spans="1:86" ht="18.75" x14ac:dyDescent="0.25">
      <c r="A96" s="63"/>
      <c r="B96" s="138"/>
      <c r="C96" s="134"/>
      <c r="D96" s="134"/>
      <c r="E96" s="134"/>
      <c r="F96" s="134"/>
      <c r="G96" s="134"/>
      <c r="H96" s="134"/>
      <c r="I96" s="134"/>
      <c r="J96" s="4"/>
      <c r="K96" s="31"/>
      <c r="L96" s="31"/>
      <c r="M96" s="31"/>
      <c r="N96" s="31"/>
      <c r="O96" s="31"/>
      <c r="P96" s="14"/>
      <c r="Q96" s="14"/>
      <c r="R96" s="38"/>
      <c r="S96" s="14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135"/>
      <c r="CE96" s="28"/>
      <c r="CF96" s="28"/>
      <c r="CG96" s="20"/>
      <c r="CH96" s="27"/>
    </row>
    <row r="97" spans="1:86" ht="18.75" x14ac:dyDescent="0.25">
      <c r="A97" s="63"/>
      <c r="B97" s="138"/>
      <c r="C97" s="134"/>
      <c r="D97" s="134"/>
      <c r="E97" s="134"/>
      <c r="F97" s="134"/>
      <c r="G97" s="134"/>
      <c r="H97" s="134"/>
      <c r="I97" s="134"/>
      <c r="J97" s="4"/>
      <c r="K97" s="31"/>
      <c r="L97" s="31"/>
      <c r="M97" s="31"/>
      <c r="N97" s="31"/>
      <c r="O97" s="31"/>
      <c r="P97" s="38"/>
      <c r="Q97" s="38"/>
      <c r="R97" s="38"/>
      <c r="S97" s="2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135"/>
      <c r="CE97" s="28"/>
      <c r="CF97" s="28"/>
      <c r="CG97" s="20"/>
      <c r="CH97" s="27"/>
    </row>
    <row r="98" spans="1:86" ht="18.75" x14ac:dyDescent="0.25">
      <c r="A98" s="63"/>
      <c r="B98" s="138"/>
      <c r="C98" s="134"/>
      <c r="D98" s="134"/>
      <c r="E98" s="134"/>
      <c r="F98" s="134"/>
      <c r="G98" s="134"/>
      <c r="H98" s="134"/>
      <c r="I98" s="134"/>
      <c r="J98" s="4"/>
      <c r="K98" s="31"/>
      <c r="L98" s="31"/>
      <c r="M98" s="31"/>
      <c r="N98" s="31"/>
      <c r="O98" s="31"/>
      <c r="P98" s="38"/>
      <c r="Q98" s="38"/>
      <c r="R98" s="38"/>
      <c r="S98" s="2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135"/>
      <c r="CE98" s="28"/>
      <c r="CF98" s="28"/>
      <c r="CG98" s="20"/>
      <c r="CH98" s="27"/>
    </row>
    <row r="99" spans="1:86" ht="18.75" x14ac:dyDescent="0.25">
      <c r="A99" s="63"/>
      <c r="B99" s="138"/>
      <c r="C99" s="134"/>
      <c r="D99" s="134"/>
      <c r="E99" s="134"/>
      <c r="F99" s="134"/>
      <c r="G99" s="134"/>
      <c r="H99" s="134"/>
      <c r="I99" s="134"/>
      <c r="J99" s="38"/>
      <c r="K99" s="99"/>
      <c r="L99" s="99"/>
      <c r="M99" s="119"/>
      <c r="N99" s="99"/>
      <c r="O99" s="99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135"/>
      <c r="CE99" s="28"/>
      <c r="CF99" s="28"/>
      <c r="CG99" s="20"/>
      <c r="CH99" s="27"/>
    </row>
    <row r="100" spans="1:86" ht="18.75" x14ac:dyDescent="0.25">
      <c r="A100" s="63"/>
      <c r="B100" s="138"/>
      <c r="C100" s="134"/>
      <c r="D100" s="134"/>
      <c r="E100" s="134"/>
      <c r="F100" s="134"/>
      <c r="G100" s="134"/>
      <c r="H100" s="134"/>
      <c r="I100" s="134"/>
      <c r="J100" s="38"/>
      <c r="K100" s="99"/>
      <c r="L100" s="99"/>
      <c r="M100" s="99"/>
      <c r="N100" s="99"/>
      <c r="O100" s="99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135"/>
      <c r="CE100" s="28"/>
      <c r="CF100" s="28"/>
      <c r="CG100" s="20"/>
      <c r="CH100" s="27"/>
    </row>
    <row r="101" spans="1:86" ht="18.75" x14ac:dyDescent="0.25">
      <c r="A101" s="63"/>
      <c r="B101" s="138"/>
      <c r="C101" s="134"/>
      <c r="D101" s="134"/>
      <c r="E101" s="134"/>
      <c r="F101" s="134"/>
      <c r="G101" s="134"/>
      <c r="H101" s="134"/>
      <c r="I101" s="134"/>
      <c r="J101" s="4"/>
      <c r="K101" s="31"/>
      <c r="L101" s="31"/>
      <c r="M101" s="2"/>
      <c r="N101" s="31"/>
      <c r="O101" s="31"/>
      <c r="P101" s="38"/>
      <c r="Q101" s="38"/>
      <c r="R101" s="38"/>
      <c r="S101" s="14"/>
      <c r="T101" s="38"/>
      <c r="U101" s="38"/>
      <c r="V101" s="14"/>
      <c r="W101" s="38"/>
      <c r="X101" s="38"/>
      <c r="Y101" s="14"/>
      <c r="Z101" s="38"/>
      <c r="AA101" s="38"/>
      <c r="AB101" s="38"/>
      <c r="AC101" s="38"/>
      <c r="AD101" s="38"/>
      <c r="AE101" s="2"/>
      <c r="AF101" s="5"/>
      <c r="AG101" s="5"/>
      <c r="AH101" s="14"/>
      <c r="AI101" s="5"/>
      <c r="AJ101" s="5"/>
      <c r="AK101" s="14"/>
      <c r="AL101" s="5"/>
      <c r="AM101" s="5"/>
      <c r="AN101" s="5"/>
      <c r="AO101" s="5"/>
      <c r="AP101" s="5"/>
      <c r="AQ101" s="5"/>
      <c r="AR101" s="5"/>
      <c r="AS101" s="5"/>
      <c r="AT101" s="2"/>
      <c r="AU101" s="5"/>
      <c r="AV101" s="5"/>
      <c r="AW101" s="5"/>
      <c r="AX101" s="5"/>
      <c r="AY101" s="5"/>
      <c r="AZ101" s="2"/>
      <c r="BA101" s="5"/>
      <c r="BB101" s="5"/>
      <c r="BC101" s="2"/>
      <c r="BD101" s="5"/>
      <c r="BE101" s="5"/>
      <c r="BF101" s="14"/>
      <c r="BG101" s="5"/>
      <c r="BH101" s="5"/>
      <c r="BI101" s="5"/>
      <c r="BJ101" s="5"/>
      <c r="BK101" s="5"/>
      <c r="BL101" s="43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135"/>
      <c r="CE101" s="28"/>
      <c r="CF101" s="28"/>
      <c r="CG101" s="20"/>
      <c r="CH101" s="27"/>
    </row>
    <row r="102" spans="1:86" ht="18.75" x14ac:dyDescent="0.25">
      <c r="A102" s="63"/>
      <c r="B102" s="138"/>
      <c r="C102" s="134"/>
      <c r="D102" s="134"/>
      <c r="E102" s="134"/>
      <c r="F102" s="134"/>
      <c r="G102" s="134"/>
      <c r="H102" s="134"/>
      <c r="I102" s="134"/>
      <c r="J102" s="4"/>
      <c r="K102" s="31"/>
      <c r="L102" s="31"/>
      <c r="M102" s="31"/>
      <c r="N102" s="31"/>
      <c r="O102" s="31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135"/>
      <c r="CE102" s="28"/>
      <c r="CF102" s="28"/>
      <c r="CG102" s="20"/>
      <c r="CH102" s="27"/>
    </row>
    <row r="103" spans="1:86" ht="18.75" x14ac:dyDescent="0.25">
      <c r="A103" s="63"/>
      <c r="B103" s="138"/>
      <c r="C103" s="134"/>
      <c r="D103" s="134"/>
      <c r="E103" s="134"/>
      <c r="F103" s="134"/>
      <c r="G103" s="134"/>
      <c r="H103" s="134"/>
      <c r="I103" s="134"/>
      <c r="J103" s="4"/>
      <c r="K103" s="31"/>
      <c r="L103" s="31"/>
      <c r="M103" s="31"/>
      <c r="N103" s="31"/>
      <c r="O103" s="31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135"/>
      <c r="CE103" s="28"/>
      <c r="CF103" s="28"/>
      <c r="CG103" s="20"/>
      <c r="CH103" s="27"/>
    </row>
    <row r="104" spans="1:86" ht="18.75" x14ac:dyDescent="0.25">
      <c r="A104" s="63"/>
      <c r="B104" s="138"/>
      <c r="C104" s="134"/>
      <c r="D104" s="134"/>
      <c r="E104" s="134"/>
      <c r="F104" s="134"/>
      <c r="G104" s="134"/>
      <c r="H104" s="134"/>
      <c r="I104" s="134"/>
      <c r="J104" s="4"/>
      <c r="K104" s="31"/>
      <c r="L104" s="31"/>
      <c r="M104" s="31"/>
      <c r="N104" s="31"/>
      <c r="O104" s="31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135"/>
      <c r="CE104" s="28"/>
      <c r="CF104" s="28"/>
      <c r="CG104" s="20"/>
      <c r="CH104" s="27"/>
    </row>
    <row r="105" spans="1:86" ht="18.75" x14ac:dyDescent="0.25">
      <c r="A105" s="63"/>
      <c r="B105" s="138"/>
      <c r="C105" s="134"/>
      <c r="D105" s="134"/>
      <c r="E105" s="134"/>
      <c r="F105" s="134"/>
      <c r="G105" s="134"/>
      <c r="H105" s="134"/>
      <c r="I105" s="134"/>
      <c r="J105" s="4"/>
      <c r="K105" s="31"/>
      <c r="L105" s="31"/>
      <c r="M105" s="31"/>
      <c r="N105" s="31"/>
      <c r="O105" s="31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135"/>
      <c r="CE105" s="28"/>
      <c r="CF105" s="28"/>
      <c r="CG105" s="20"/>
      <c r="CH105" s="27"/>
    </row>
    <row r="106" spans="1:86" ht="18.75" x14ac:dyDescent="0.25">
      <c r="A106" s="63"/>
      <c r="B106" s="138"/>
      <c r="C106" s="134"/>
      <c r="D106" s="134"/>
      <c r="E106" s="134"/>
      <c r="F106" s="134"/>
      <c r="G106" s="134"/>
      <c r="H106" s="134"/>
      <c r="I106" s="134"/>
      <c r="J106" s="4"/>
      <c r="K106" s="31"/>
      <c r="L106" s="31"/>
      <c r="M106" s="31"/>
      <c r="N106" s="31"/>
      <c r="O106" s="31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135"/>
      <c r="CE106" s="28"/>
      <c r="CF106" s="28"/>
      <c r="CG106" s="20"/>
      <c r="CH106" s="27"/>
    </row>
    <row r="107" spans="1:86" ht="18.75" x14ac:dyDescent="0.25">
      <c r="A107" s="63"/>
      <c r="B107" s="138"/>
      <c r="C107" s="134"/>
      <c r="D107" s="134"/>
      <c r="E107" s="134"/>
      <c r="F107" s="134"/>
      <c r="G107" s="134"/>
      <c r="H107" s="134"/>
      <c r="I107" s="134"/>
      <c r="J107" s="4"/>
      <c r="K107" s="31"/>
      <c r="L107" s="31"/>
      <c r="M107" s="31"/>
      <c r="N107" s="31"/>
      <c r="O107" s="31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135"/>
      <c r="CE107" s="28"/>
      <c r="CF107" s="28"/>
      <c r="CG107" s="20"/>
      <c r="CH107" s="27"/>
    </row>
    <row r="108" spans="1:86" ht="18.75" x14ac:dyDescent="0.25">
      <c r="A108" s="63"/>
      <c r="B108" s="138"/>
      <c r="C108" s="134"/>
      <c r="D108" s="134"/>
      <c r="E108" s="134"/>
      <c r="F108" s="134"/>
      <c r="G108" s="134"/>
      <c r="H108" s="134"/>
      <c r="I108" s="134"/>
      <c r="J108" s="4"/>
      <c r="K108" s="31"/>
      <c r="L108" s="31"/>
      <c r="M108" s="2"/>
      <c r="N108" s="31"/>
      <c r="O108" s="31"/>
      <c r="P108" s="38"/>
      <c r="Q108" s="38"/>
      <c r="R108" s="38"/>
      <c r="S108" s="14"/>
      <c r="T108" s="38"/>
      <c r="U108" s="38"/>
      <c r="V108" s="14"/>
      <c r="W108" s="38"/>
      <c r="X108" s="38"/>
      <c r="Y108" s="14"/>
      <c r="Z108" s="38"/>
      <c r="AA108" s="38"/>
      <c r="AB108" s="38"/>
      <c r="AC108" s="38"/>
      <c r="AD108" s="38"/>
      <c r="AE108" s="2"/>
      <c r="AF108" s="5"/>
      <c r="AG108" s="5"/>
      <c r="AH108" s="14"/>
      <c r="AI108" s="5"/>
      <c r="AJ108" s="5"/>
      <c r="AK108" s="14"/>
      <c r="AL108" s="5"/>
      <c r="AM108" s="5"/>
      <c r="AN108" s="5"/>
      <c r="AO108" s="5"/>
      <c r="AP108" s="5"/>
      <c r="AQ108" s="5"/>
      <c r="AR108" s="5"/>
      <c r="AS108" s="5"/>
      <c r="AT108" s="2"/>
      <c r="AU108" s="5"/>
      <c r="AV108" s="5"/>
      <c r="AW108" s="5"/>
      <c r="AX108" s="5"/>
      <c r="AY108" s="5"/>
      <c r="AZ108" s="2"/>
      <c r="BA108" s="5"/>
      <c r="BB108" s="5"/>
      <c r="BC108" s="2"/>
      <c r="BD108" s="5"/>
      <c r="BE108" s="5"/>
      <c r="BF108" s="14"/>
      <c r="BG108" s="5"/>
      <c r="BH108" s="5"/>
      <c r="BI108" s="5"/>
      <c r="BJ108" s="5"/>
      <c r="BK108" s="5"/>
      <c r="BL108" s="43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135"/>
      <c r="CE108" s="28"/>
      <c r="CF108" s="28"/>
      <c r="CG108" s="20"/>
      <c r="CH108" s="27"/>
    </row>
    <row r="109" spans="1:86" ht="18.75" x14ac:dyDescent="0.25">
      <c r="A109" s="63"/>
      <c r="B109" s="138"/>
      <c r="C109" s="134"/>
      <c r="D109" s="134"/>
      <c r="E109" s="134"/>
      <c r="F109" s="134"/>
      <c r="G109" s="134"/>
      <c r="H109" s="134"/>
      <c r="I109" s="134"/>
      <c r="J109" s="38"/>
      <c r="K109" s="99"/>
      <c r="L109" s="99"/>
      <c r="M109" s="119"/>
      <c r="N109" s="99"/>
      <c r="O109" s="99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135"/>
      <c r="CE109" s="28"/>
      <c r="CF109" s="28"/>
      <c r="CG109" s="20"/>
      <c r="CH109" s="27"/>
    </row>
    <row r="110" spans="1:86" ht="18.75" x14ac:dyDescent="0.25">
      <c r="A110" s="63"/>
      <c r="B110" s="138"/>
      <c r="C110" s="134"/>
      <c r="D110" s="134"/>
      <c r="E110" s="134"/>
      <c r="F110" s="134"/>
      <c r="G110" s="134"/>
      <c r="H110" s="134"/>
      <c r="I110" s="134"/>
      <c r="J110" s="38"/>
      <c r="K110" s="99"/>
      <c r="L110" s="99"/>
      <c r="M110" s="119"/>
      <c r="N110" s="99"/>
      <c r="O110" s="99"/>
      <c r="P110" s="14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135"/>
      <c r="CE110" s="28"/>
      <c r="CF110" s="28"/>
      <c r="CG110" s="20"/>
      <c r="CH110" s="27"/>
    </row>
    <row r="111" spans="1:86" ht="18.75" x14ac:dyDescent="0.25">
      <c r="A111" s="63"/>
      <c r="B111" s="138"/>
      <c r="C111" s="134"/>
      <c r="D111" s="134"/>
      <c r="E111" s="134"/>
      <c r="F111" s="134"/>
      <c r="G111" s="134"/>
      <c r="H111" s="134"/>
      <c r="I111" s="134"/>
      <c r="J111" s="2"/>
      <c r="K111" s="31"/>
      <c r="L111" s="31"/>
      <c r="M111" s="2"/>
      <c r="N111" s="32"/>
      <c r="O111" s="31"/>
      <c r="P111" s="2"/>
      <c r="Q111" s="2"/>
      <c r="R111" s="2"/>
      <c r="S111" s="40"/>
      <c r="T111" s="40"/>
      <c r="U111" s="40"/>
      <c r="V111" s="2"/>
      <c r="W111" s="2"/>
      <c r="X111" s="2"/>
      <c r="Y111" s="2"/>
      <c r="Z111" s="38"/>
      <c r="AA111" s="2"/>
      <c r="AB111" s="2"/>
      <c r="AC111" s="5"/>
      <c r="AD111" s="5"/>
      <c r="AE111" s="2"/>
      <c r="AF111" s="2"/>
      <c r="AG111" s="2"/>
      <c r="AH111" s="16"/>
      <c r="AI111" s="16"/>
      <c r="AJ111" s="5"/>
      <c r="AK111" s="16"/>
      <c r="AL111" s="16"/>
      <c r="AM111" s="5"/>
      <c r="AN111" s="2"/>
      <c r="AO111" s="5"/>
      <c r="AP111" s="5"/>
      <c r="AQ111" s="2"/>
      <c r="AR111" s="2"/>
      <c r="AS111" s="5"/>
      <c r="AT111" s="2"/>
      <c r="AU111" s="5"/>
      <c r="AV111" s="5"/>
      <c r="AW111" s="2"/>
      <c r="AX111" s="5"/>
      <c r="AY111" s="5"/>
      <c r="AZ111" s="2"/>
      <c r="BA111" s="5"/>
      <c r="BB111" s="5"/>
      <c r="BC111" s="2"/>
      <c r="BD111" s="5"/>
      <c r="BE111" s="5"/>
      <c r="BF111" s="2"/>
      <c r="BG111" s="5"/>
      <c r="BH111" s="5"/>
      <c r="BI111" s="2"/>
      <c r="BJ111" s="2"/>
      <c r="BK111" s="5"/>
      <c r="BL111" s="16"/>
      <c r="BM111" s="16"/>
      <c r="BN111" s="5"/>
      <c r="BO111" s="2"/>
      <c r="BP111" s="2"/>
      <c r="BQ111" s="5"/>
      <c r="BR111" s="14"/>
      <c r="BS111" s="5"/>
      <c r="BT111" s="5"/>
      <c r="BU111" s="14"/>
      <c r="BV111" s="5"/>
      <c r="BW111" s="5"/>
      <c r="BX111" s="2"/>
      <c r="BY111" s="5"/>
      <c r="BZ111" s="5"/>
      <c r="CA111" s="2"/>
      <c r="CB111" s="5"/>
      <c r="CC111" s="5"/>
      <c r="CD111" s="135"/>
      <c r="CE111" s="28"/>
      <c r="CF111" s="28"/>
      <c r="CG111" s="20"/>
      <c r="CH111" s="27"/>
    </row>
    <row r="112" spans="1:86" ht="18.75" x14ac:dyDescent="0.25">
      <c r="A112" s="63"/>
      <c r="B112" s="138"/>
      <c r="C112" s="134"/>
      <c r="D112" s="134"/>
      <c r="E112" s="134"/>
      <c r="F112" s="134"/>
      <c r="G112" s="134"/>
      <c r="H112" s="134"/>
      <c r="I112" s="134"/>
      <c r="J112" s="38"/>
      <c r="K112" s="99"/>
      <c r="L112" s="99"/>
      <c r="M112" s="99"/>
      <c r="N112" s="99"/>
      <c r="O112" s="99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135"/>
      <c r="CE112" s="28"/>
      <c r="CF112" s="28"/>
      <c r="CG112" s="20"/>
      <c r="CH112" s="27"/>
    </row>
    <row r="113" spans="1:86" ht="18.75" x14ac:dyDescent="0.25">
      <c r="A113" s="63"/>
      <c r="B113" s="138"/>
      <c r="C113" s="134"/>
      <c r="D113" s="134"/>
      <c r="E113" s="134"/>
      <c r="F113" s="134"/>
      <c r="G113" s="134"/>
      <c r="H113" s="134"/>
      <c r="I113" s="134"/>
      <c r="J113" s="4"/>
      <c r="K113" s="31"/>
      <c r="L113" s="31"/>
      <c r="M113" s="31"/>
      <c r="N113" s="31"/>
      <c r="O113" s="31"/>
      <c r="P113" s="38"/>
      <c r="Q113" s="38"/>
      <c r="R113" s="38"/>
      <c r="S113" s="40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135"/>
      <c r="CE113" s="28"/>
      <c r="CF113" s="28"/>
      <c r="CG113" s="20"/>
      <c r="CH113" s="27"/>
    </row>
    <row r="114" spans="1:86" ht="18.75" x14ac:dyDescent="0.25">
      <c r="A114" s="63"/>
      <c r="B114" s="138"/>
      <c r="C114" s="134"/>
      <c r="D114" s="134"/>
      <c r="E114" s="134"/>
      <c r="F114" s="134"/>
      <c r="G114" s="134"/>
      <c r="H114" s="134"/>
      <c r="I114" s="134"/>
      <c r="J114" s="4"/>
      <c r="K114" s="31"/>
      <c r="L114" s="31"/>
      <c r="M114" s="31"/>
      <c r="N114" s="31"/>
      <c r="O114" s="31"/>
      <c r="P114" s="38"/>
      <c r="Q114" s="38"/>
      <c r="R114" s="38"/>
      <c r="S114" s="40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135"/>
      <c r="CE114" s="28"/>
      <c r="CF114" s="28"/>
      <c r="CG114" s="20"/>
      <c r="CH114" s="27"/>
    </row>
    <row r="115" spans="1:86" ht="18.75" x14ac:dyDescent="0.25">
      <c r="A115" s="63"/>
      <c r="B115" s="138"/>
      <c r="C115" s="134"/>
      <c r="D115" s="134"/>
      <c r="E115" s="134"/>
      <c r="F115" s="134"/>
      <c r="G115" s="134"/>
      <c r="H115" s="134"/>
      <c r="I115" s="134"/>
      <c r="J115" s="2"/>
      <c r="K115" s="2"/>
      <c r="L115" s="2"/>
      <c r="M115" s="2"/>
      <c r="N115" s="2"/>
      <c r="O115" s="2"/>
      <c r="P115" s="2"/>
      <c r="Q115" s="2"/>
      <c r="R115" s="14"/>
      <c r="S115" s="40"/>
      <c r="T115" s="40"/>
      <c r="U115" s="40"/>
      <c r="V115" s="2"/>
      <c r="W115" s="2"/>
      <c r="X115" s="2"/>
      <c r="Y115" s="2"/>
      <c r="Z115" s="2"/>
      <c r="AA115" s="2"/>
      <c r="AB115" s="2"/>
      <c r="AC115" s="5"/>
      <c r="AD115" s="5"/>
      <c r="AE115" s="2"/>
      <c r="AF115" s="2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2"/>
      <c r="AU115" s="16"/>
      <c r="AV115" s="16"/>
      <c r="AW115" s="16"/>
      <c r="AX115" s="16"/>
      <c r="AY115" s="16"/>
      <c r="AZ115" s="16"/>
      <c r="BA115" s="16"/>
      <c r="BB115" s="16"/>
      <c r="BC115" s="2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35"/>
      <c r="CE115" s="28"/>
      <c r="CF115" s="28"/>
      <c r="CG115" s="20"/>
      <c r="CH115" s="27"/>
    </row>
    <row r="116" spans="1:86" ht="18.75" x14ac:dyDescent="0.25">
      <c r="A116" s="63"/>
      <c r="B116" s="138"/>
      <c r="C116" s="134"/>
      <c r="D116" s="134"/>
      <c r="E116" s="134"/>
      <c r="F116" s="134"/>
      <c r="G116" s="134"/>
      <c r="H116" s="134"/>
      <c r="I116" s="134"/>
      <c r="J116" s="14"/>
      <c r="K116" s="32"/>
      <c r="L116" s="32"/>
      <c r="M116" s="2"/>
      <c r="N116" s="32"/>
      <c r="O116" s="32"/>
      <c r="P116" s="2"/>
      <c r="Q116" s="2"/>
      <c r="R116" s="2"/>
      <c r="S116" s="40"/>
      <c r="T116" s="40"/>
      <c r="U116" s="40"/>
      <c r="V116" s="2"/>
      <c r="W116" s="2"/>
      <c r="X116" s="2"/>
      <c r="Y116" s="2"/>
      <c r="Z116" s="38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135"/>
      <c r="CE116" s="28"/>
      <c r="CF116" s="28"/>
      <c r="CG116" s="20"/>
      <c r="CH116" s="27"/>
    </row>
    <row r="117" spans="1:86" ht="18.75" x14ac:dyDescent="0.25">
      <c r="A117" s="63"/>
      <c r="B117" s="138"/>
      <c r="C117" s="134"/>
      <c r="D117" s="134"/>
      <c r="E117" s="134"/>
      <c r="F117" s="134"/>
      <c r="G117" s="134"/>
      <c r="H117" s="134"/>
      <c r="I117" s="134"/>
      <c r="J117" s="38"/>
      <c r="K117" s="99"/>
      <c r="L117" s="99"/>
      <c r="M117" s="119"/>
      <c r="N117" s="99"/>
      <c r="O117" s="99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135"/>
      <c r="CE117" s="28"/>
      <c r="CF117" s="28"/>
      <c r="CG117" s="20"/>
      <c r="CH117" s="27"/>
    </row>
    <row r="118" spans="1:86" ht="18.75" x14ac:dyDescent="0.25">
      <c r="A118" s="63"/>
      <c r="B118" s="138"/>
      <c r="C118" s="134"/>
      <c r="D118" s="134"/>
      <c r="E118" s="134"/>
      <c r="F118" s="134"/>
      <c r="G118" s="134"/>
      <c r="H118" s="134"/>
      <c r="I118" s="134"/>
      <c r="J118" s="4"/>
      <c r="K118" s="31"/>
      <c r="L118" s="31"/>
      <c r="M118" s="2"/>
      <c r="N118" s="31"/>
      <c r="O118" s="31"/>
      <c r="P118" s="14"/>
      <c r="Q118" s="14"/>
      <c r="R118" s="14"/>
      <c r="S118" s="14"/>
      <c r="T118" s="14"/>
      <c r="U118" s="38"/>
      <c r="V118" s="14"/>
      <c r="W118" s="38"/>
      <c r="X118" s="38"/>
      <c r="Y118" s="14"/>
      <c r="Z118" s="38"/>
      <c r="AA118" s="38"/>
      <c r="AB118" s="38"/>
      <c r="AC118" s="38"/>
      <c r="AD118" s="38"/>
      <c r="AE118" s="2"/>
      <c r="AF118" s="5"/>
      <c r="AG118" s="5"/>
      <c r="AH118" s="14"/>
      <c r="AI118" s="5"/>
      <c r="AJ118" s="5"/>
      <c r="AK118" s="14"/>
      <c r="AL118" s="5"/>
      <c r="AM118" s="5"/>
      <c r="AN118" s="5"/>
      <c r="AO118" s="5"/>
      <c r="AP118" s="5"/>
      <c r="AQ118" s="5"/>
      <c r="AR118" s="5"/>
      <c r="AS118" s="5"/>
      <c r="AT118" s="2"/>
      <c r="AU118" s="5"/>
      <c r="AV118" s="5"/>
      <c r="AW118" s="5"/>
      <c r="AX118" s="5"/>
      <c r="AY118" s="5"/>
      <c r="AZ118" s="2"/>
      <c r="BA118" s="5"/>
      <c r="BB118" s="5"/>
      <c r="BC118" s="2"/>
      <c r="BD118" s="5"/>
      <c r="BE118" s="5"/>
      <c r="BF118" s="14"/>
      <c r="BG118" s="5"/>
      <c r="BH118" s="5"/>
      <c r="BI118" s="5"/>
      <c r="BJ118" s="5"/>
      <c r="BK118" s="5"/>
      <c r="BL118" s="43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135"/>
      <c r="CE118" s="28"/>
      <c r="CF118" s="28"/>
      <c r="CG118" s="20"/>
      <c r="CH118" s="27"/>
    </row>
    <row r="119" spans="1:86" ht="18.75" x14ac:dyDescent="0.25">
      <c r="A119" s="63"/>
      <c r="B119" s="138"/>
      <c r="C119" s="134"/>
      <c r="D119" s="134"/>
      <c r="E119" s="134"/>
      <c r="F119" s="134"/>
      <c r="G119" s="134"/>
      <c r="H119" s="134"/>
      <c r="I119" s="134"/>
      <c r="J119" s="4"/>
      <c r="K119" s="31"/>
      <c r="L119" s="31"/>
      <c r="M119" s="31"/>
      <c r="N119" s="31"/>
      <c r="O119" s="31"/>
      <c r="P119" s="38"/>
      <c r="Q119" s="38"/>
      <c r="R119" s="38"/>
      <c r="S119" s="14"/>
      <c r="T119" s="38"/>
      <c r="U119" s="38"/>
      <c r="V119" s="2"/>
      <c r="W119" s="38"/>
      <c r="X119" s="38"/>
      <c r="Y119" s="38"/>
      <c r="Z119" s="38"/>
      <c r="AA119" s="38"/>
      <c r="AB119" s="2"/>
      <c r="AC119" s="38"/>
      <c r="AD119" s="38"/>
      <c r="AE119" s="5"/>
      <c r="AF119" s="5"/>
      <c r="AG119" s="5"/>
      <c r="AH119" s="14"/>
      <c r="AI119" s="5"/>
      <c r="AJ119" s="5"/>
      <c r="AK119" s="14"/>
      <c r="AL119" s="5"/>
      <c r="AM119" s="5"/>
      <c r="AN119" s="14"/>
      <c r="AO119" s="5"/>
      <c r="AP119" s="5"/>
      <c r="AQ119" s="5"/>
      <c r="AR119" s="5"/>
      <c r="AS119" s="5"/>
      <c r="AT119" s="2"/>
      <c r="AU119" s="5"/>
      <c r="AV119" s="5"/>
      <c r="AW119" s="5"/>
      <c r="AX119" s="5"/>
      <c r="AY119" s="5"/>
      <c r="AZ119" s="2"/>
      <c r="BA119" s="5"/>
      <c r="BB119" s="5"/>
      <c r="BC119" s="2"/>
      <c r="BD119" s="5"/>
      <c r="BE119" s="5"/>
      <c r="BF119" s="14"/>
      <c r="BG119" s="5"/>
      <c r="BH119" s="5"/>
      <c r="BI119" s="14"/>
      <c r="BJ119" s="5"/>
      <c r="BK119" s="5"/>
      <c r="BL119" s="43"/>
      <c r="BM119" s="43"/>
      <c r="BN119" s="5"/>
      <c r="BO119" s="43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135"/>
      <c r="CE119" s="28"/>
      <c r="CF119" s="28"/>
      <c r="CG119" s="20"/>
      <c r="CH119" s="27"/>
    </row>
    <row r="120" spans="1:86" ht="18.75" x14ac:dyDescent="0.25">
      <c r="A120" s="151"/>
      <c r="B120" s="152"/>
      <c r="C120" s="153"/>
      <c r="D120" s="153"/>
      <c r="E120" s="153"/>
      <c r="F120" s="153"/>
      <c r="G120" s="153"/>
      <c r="H120" s="153"/>
      <c r="I120" s="153"/>
      <c r="J120" s="164"/>
      <c r="K120" s="163"/>
      <c r="L120" s="163"/>
      <c r="M120" s="163"/>
      <c r="N120" s="163"/>
      <c r="O120" s="163"/>
      <c r="P120" s="149"/>
      <c r="Q120" s="149"/>
      <c r="R120" s="149"/>
      <c r="S120" s="156"/>
      <c r="T120" s="149"/>
      <c r="U120" s="149"/>
      <c r="V120" s="155"/>
      <c r="W120" s="149"/>
      <c r="X120" s="149"/>
      <c r="Y120" s="149"/>
      <c r="Z120" s="149"/>
      <c r="AA120" s="149"/>
      <c r="AB120" s="155"/>
      <c r="AC120" s="149"/>
      <c r="AD120" s="149"/>
      <c r="AE120" s="158"/>
      <c r="AF120" s="158"/>
      <c r="AG120" s="158"/>
      <c r="AH120" s="156"/>
      <c r="AI120" s="158"/>
      <c r="AJ120" s="158"/>
      <c r="AK120" s="156"/>
      <c r="AL120" s="158"/>
      <c r="AM120" s="158"/>
      <c r="AN120" s="156"/>
      <c r="AO120" s="158"/>
      <c r="AP120" s="158"/>
      <c r="AQ120" s="158"/>
      <c r="AR120" s="158"/>
      <c r="AS120" s="158"/>
      <c r="AT120" s="155"/>
      <c r="AU120" s="158"/>
      <c r="AV120" s="158"/>
      <c r="AW120" s="158"/>
      <c r="AX120" s="158"/>
      <c r="AY120" s="158"/>
      <c r="AZ120" s="155"/>
      <c r="BA120" s="158"/>
      <c r="BB120" s="158"/>
      <c r="BC120" s="155"/>
      <c r="BD120" s="158"/>
      <c r="BE120" s="158"/>
      <c r="BF120" s="156"/>
      <c r="BG120" s="158"/>
      <c r="BH120" s="158"/>
      <c r="BI120" s="156"/>
      <c r="BJ120" s="158"/>
      <c r="BK120" s="158"/>
      <c r="BL120" s="169"/>
      <c r="BM120" s="169"/>
      <c r="BN120" s="158"/>
      <c r="BO120" s="169"/>
      <c r="BP120" s="158"/>
      <c r="BQ120" s="158"/>
      <c r="BR120" s="158"/>
      <c r="BS120" s="158"/>
      <c r="BT120" s="158"/>
      <c r="BU120" s="158"/>
      <c r="BV120" s="158"/>
      <c r="BW120" s="158"/>
      <c r="BX120" s="158"/>
      <c r="BY120" s="158"/>
      <c r="BZ120" s="158"/>
      <c r="CA120" s="158"/>
      <c r="CB120" s="158"/>
      <c r="CC120" s="158"/>
      <c r="CD120" s="159"/>
      <c r="CE120" s="160"/>
      <c r="CF120" s="160"/>
      <c r="CG120" s="88"/>
      <c r="CH120" s="161"/>
    </row>
    <row r="121" spans="1:86" ht="18.75" x14ac:dyDescent="0.25">
      <c r="A121" s="63"/>
      <c r="B121" s="138"/>
      <c r="C121" s="134"/>
      <c r="D121" s="134"/>
      <c r="E121" s="134"/>
      <c r="F121" s="134"/>
      <c r="G121" s="134"/>
      <c r="H121" s="134"/>
      <c r="I121" s="134"/>
      <c r="J121" s="38"/>
      <c r="K121" s="99"/>
      <c r="L121" s="99"/>
      <c r="M121" s="99"/>
      <c r="N121" s="99"/>
      <c r="O121" s="99"/>
      <c r="P121" s="38"/>
      <c r="Q121" s="38"/>
      <c r="R121" s="38"/>
      <c r="S121" s="2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135"/>
      <c r="CE121" s="28"/>
      <c r="CF121" s="28"/>
      <c r="CG121" s="20"/>
      <c r="CH121" s="27"/>
    </row>
    <row r="122" spans="1:86" ht="18.75" x14ac:dyDescent="0.25">
      <c r="A122" s="63"/>
      <c r="B122" s="138"/>
      <c r="C122" s="134"/>
      <c r="D122" s="134"/>
      <c r="E122" s="134"/>
      <c r="F122" s="134"/>
      <c r="G122" s="134"/>
      <c r="H122" s="134"/>
      <c r="I122" s="134"/>
      <c r="J122" s="38"/>
      <c r="K122" s="99"/>
      <c r="L122" s="99"/>
      <c r="M122" s="99"/>
      <c r="N122" s="99"/>
      <c r="O122" s="99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135"/>
      <c r="CE122" s="28"/>
      <c r="CF122" s="28"/>
      <c r="CG122" s="20"/>
      <c r="CH122" s="27"/>
    </row>
    <row r="123" spans="1:86" ht="18.75" x14ac:dyDescent="0.25">
      <c r="A123" s="63"/>
      <c r="B123" s="138"/>
      <c r="C123" s="134"/>
      <c r="D123" s="134"/>
      <c r="E123" s="134"/>
      <c r="F123" s="134"/>
      <c r="G123" s="134"/>
      <c r="H123" s="134"/>
      <c r="I123" s="134"/>
      <c r="J123" s="38"/>
      <c r="K123" s="99"/>
      <c r="L123" s="99"/>
      <c r="M123" s="99"/>
      <c r="N123" s="99"/>
      <c r="O123" s="99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135"/>
      <c r="CE123" s="28"/>
      <c r="CF123" s="28"/>
      <c r="CG123" s="20"/>
      <c r="CH123" s="27"/>
    </row>
    <row r="124" spans="1:86" ht="18.75" x14ac:dyDescent="0.25">
      <c r="A124" s="63"/>
      <c r="B124" s="138"/>
      <c r="C124" s="134"/>
      <c r="D124" s="134"/>
      <c r="E124" s="134"/>
      <c r="F124" s="134"/>
      <c r="G124" s="134"/>
      <c r="H124" s="134"/>
      <c r="I124" s="134"/>
      <c r="J124" s="38"/>
      <c r="K124" s="99"/>
      <c r="L124" s="99"/>
      <c r="M124" s="119"/>
      <c r="N124" s="99"/>
      <c r="O124" s="99"/>
      <c r="P124" s="2"/>
      <c r="Q124" s="2"/>
      <c r="R124" s="2"/>
      <c r="S124" s="2"/>
      <c r="T124" s="2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135"/>
      <c r="CE124" s="28"/>
      <c r="CF124" s="28"/>
      <c r="CG124" s="20"/>
      <c r="CH124" s="27"/>
    </row>
    <row r="125" spans="1:86" ht="18.75" x14ac:dyDescent="0.25">
      <c r="A125" s="63"/>
      <c r="B125" s="138"/>
      <c r="C125" s="134"/>
      <c r="D125" s="134"/>
      <c r="E125" s="134"/>
      <c r="F125" s="134"/>
      <c r="G125" s="134"/>
      <c r="H125" s="134"/>
      <c r="I125" s="134"/>
      <c r="J125" s="38"/>
      <c r="K125" s="99"/>
      <c r="L125" s="99"/>
      <c r="M125" s="99"/>
      <c r="N125" s="99"/>
      <c r="O125" s="99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135"/>
      <c r="CE125" s="28"/>
      <c r="CF125" s="28"/>
      <c r="CG125" s="20"/>
      <c r="CH125" s="27"/>
    </row>
    <row r="126" spans="1:86" ht="18.75" x14ac:dyDescent="0.25">
      <c r="A126" s="63"/>
      <c r="B126" s="138"/>
      <c r="C126" s="134"/>
      <c r="D126" s="134"/>
      <c r="E126" s="134"/>
      <c r="F126" s="134"/>
      <c r="G126" s="134"/>
      <c r="H126" s="134"/>
      <c r="I126" s="134"/>
      <c r="J126" s="38"/>
      <c r="K126" s="99"/>
      <c r="L126" s="99"/>
      <c r="M126" s="99"/>
      <c r="N126" s="99"/>
      <c r="O126" s="99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135"/>
      <c r="CE126" s="28"/>
      <c r="CF126" s="28"/>
      <c r="CG126" s="20"/>
      <c r="CH126" s="27"/>
    </row>
  </sheetData>
  <mergeCells count="38"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G63"/>
  <sheetViews>
    <sheetView zoomScale="55" zoomScaleNormal="55" workbookViewId="0">
      <pane xSplit="8" ySplit="3" topLeftCell="I4" activePane="bottomRight" state="frozen"/>
      <selection activeCell="BT13" sqref="BT13"/>
      <selection pane="topRight" activeCell="BT13" sqref="BT13"/>
      <selection pane="bottomLeft" activeCell="BT13" sqref="BT13"/>
      <selection pane="bottomRight"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24.71093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16384" width="9.140625" style="13"/>
  </cols>
  <sheetData>
    <row r="1" spans="1:111" s="29" customFormat="1" ht="33.75" customHeight="1" thickBot="1" x14ac:dyDescent="0.3">
      <c r="A1" s="398" t="s">
        <v>757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37</v>
      </c>
      <c r="Q2" s="390"/>
      <c r="R2" s="391"/>
      <c r="S2" s="389" t="s">
        <v>108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130" t="s">
        <v>12</v>
      </c>
      <c r="AO3" s="126" t="s">
        <v>13</v>
      </c>
      <c r="AP3" s="126" t="s">
        <v>32</v>
      </c>
      <c r="AQ3" s="126" t="s">
        <v>12</v>
      </c>
      <c r="AR3" s="126" t="s">
        <v>13</v>
      </c>
      <c r="AS3" s="128" t="s">
        <v>32</v>
      </c>
      <c r="AT3" s="58" t="s">
        <v>12</v>
      </c>
      <c r="AU3" s="102" t="s">
        <v>13</v>
      </c>
      <c r="AV3" s="49" t="s">
        <v>32</v>
      </c>
      <c r="AW3" s="130" t="s">
        <v>12</v>
      </c>
      <c r="AX3" s="126" t="s">
        <v>13</v>
      </c>
      <c r="AY3" s="128" t="s">
        <v>32</v>
      </c>
      <c r="AZ3" s="126" t="s">
        <v>12</v>
      </c>
      <c r="BA3" s="126" t="s">
        <v>13</v>
      </c>
      <c r="BB3" s="126" t="s">
        <v>32</v>
      </c>
      <c r="BC3" s="126" t="s">
        <v>12</v>
      </c>
      <c r="BD3" s="126" t="s">
        <v>13</v>
      </c>
      <c r="BE3" s="128" t="s">
        <v>32</v>
      </c>
      <c r="BF3" s="126" t="s">
        <v>12</v>
      </c>
      <c r="BG3" s="126" t="s">
        <v>13</v>
      </c>
      <c r="BH3" s="128" t="s">
        <v>32</v>
      </c>
      <c r="BI3" s="126" t="s">
        <v>12</v>
      </c>
      <c r="BJ3" s="126" t="s">
        <v>13</v>
      </c>
      <c r="BK3" s="128" t="s">
        <v>32</v>
      </c>
      <c r="BL3" s="61" t="s">
        <v>12</v>
      </c>
      <c r="BM3" s="126" t="s">
        <v>13</v>
      </c>
      <c r="BN3" s="128" t="s">
        <v>32</v>
      </c>
      <c r="BO3" s="126" t="s">
        <v>12</v>
      </c>
      <c r="BP3" s="126" t="s">
        <v>13</v>
      </c>
      <c r="BQ3" s="128" t="s">
        <v>32</v>
      </c>
      <c r="BR3" s="126" t="s">
        <v>12</v>
      </c>
      <c r="BS3" s="126" t="s">
        <v>13</v>
      </c>
      <c r="BT3" s="128" t="s">
        <v>32</v>
      </c>
      <c r="BU3" s="126" t="s">
        <v>12</v>
      </c>
      <c r="BV3" s="126" t="s">
        <v>13</v>
      </c>
      <c r="BW3" s="128" t="s">
        <v>32</v>
      </c>
      <c r="BX3" s="126" t="s">
        <v>12</v>
      </c>
      <c r="BY3" s="126" t="s">
        <v>13</v>
      </c>
      <c r="BZ3" s="128" t="s">
        <v>32</v>
      </c>
      <c r="CA3" s="126" t="s">
        <v>12</v>
      </c>
      <c r="CB3" s="126" t="s">
        <v>13</v>
      </c>
      <c r="CC3" s="12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50.45" customHeight="1" x14ac:dyDescent="0.25">
      <c r="A4" s="97">
        <f>ROW()-3</f>
        <v>1</v>
      </c>
      <c r="B4" s="138" t="s">
        <v>759</v>
      </c>
      <c r="C4" s="134" t="s">
        <v>760</v>
      </c>
      <c r="D4" s="38"/>
      <c r="E4" s="134">
        <v>700</v>
      </c>
      <c r="F4" s="134"/>
      <c r="G4" s="134" t="s">
        <v>241</v>
      </c>
      <c r="H4" s="134" t="s">
        <v>15</v>
      </c>
      <c r="I4" s="285"/>
      <c r="J4" s="2"/>
      <c r="K4" s="31"/>
      <c r="L4" s="31"/>
      <c r="M4" s="2"/>
      <c r="N4" s="31"/>
      <c r="O4" s="31"/>
      <c r="P4" s="2" t="s">
        <v>31</v>
      </c>
      <c r="Q4" s="38"/>
      <c r="R4" s="38"/>
      <c r="S4" s="40"/>
      <c r="T4" s="38"/>
      <c r="U4" s="38"/>
      <c r="V4" s="2"/>
      <c r="W4" s="2"/>
      <c r="X4" s="38"/>
      <c r="Y4" s="2"/>
      <c r="Z4" s="38"/>
      <c r="AA4" s="38"/>
      <c r="AB4" s="2"/>
      <c r="AC4" s="38"/>
      <c r="AD4" s="38"/>
      <c r="AE4" s="2"/>
      <c r="AF4" s="5"/>
      <c r="AG4" s="5"/>
      <c r="AH4" s="14"/>
      <c r="AI4" s="5"/>
      <c r="AJ4" s="5"/>
      <c r="AK4" s="5"/>
      <c r="AL4" s="5"/>
      <c r="AM4" s="5"/>
      <c r="AN4" s="5"/>
      <c r="AO4" s="5"/>
      <c r="AP4" s="5"/>
      <c r="AQ4" s="14"/>
      <c r="AR4" s="5"/>
      <c r="AS4" s="5"/>
      <c r="AT4" s="14" t="s">
        <v>31</v>
      </c>
      <c r="AU4" s="5"/>
      <c r="AV4" s="5"/>
      <c r="AW4" s="14" t="s">
        <v>31</v>
      </c>
      <c r="AX4" s="5"/>
      <c r="AY4" s="5"/>
      <c r="AZ4" s="32" t="s">
        <v>31</v>
      </c>
      <c r="BA4" s="5"/>
      <c r="BB4" s="5"/>
      <c r="BC4" s="2"/>
      <c r="BD4" s="5"/>
      <c r="BE4" s="5"/>
      <c r="BF4" s="5"/>
      <c r="BG4" s="5"/>
      <c r="BH4" s="5"/>
      <c r="BI4" s="14"/>
      <c r="BJ4" s="5"/>
      <c r="BK4" s="5"/>
      <c r="BL4" s="14"/>
      <c r="BM4" s="5"/>
      <c r="BN4" s="5"/>
      <c r="BO4" s="2"/>
      <c r="BP4" s="5"/>
      <c r="BQ4" s="5"/>
      <c r="BR4" s="14"/>
      <c r="BS4" s="5"/>
      <c r="BT4" s="5"/>
      <c r="BU4" s="2"/>
      <c r="BV4" s="5"/>
      <c r="BW4" s="5"/>
      <c r="BX4" s="2"/>
      <c r="BY4" s="5"/>
      <c r="BZ4" s="5"/>
      <c r="CA4" s="5"/>
      <c r="CB4" s="5"/>
      <c r="CC4" s="5"/>
      <c r="CD4" s="135">
        <f>COUNTA(J4:CC4)</f>
        <v>4</v>
      </c>
      <c r="CE4" s="28" t="s">
        <v>761</v>
      </c>
      <c r="CF4" s="28"/>
      <c r="CG4" s="20" t="s">
        <v>926</v>
      </c>
      <c r="CH4" s="27" t="str">
        <f t="shared" ref="CH4:CH11" si="0">IF(CD4&lt;=0,"0",IF(CD4=1,"1",IF(CD4=2,"2",IF(CD4=3,"3",IF(CD4&gt;=4,"4")))))</f>
        <v>4</v>
      </c>
    </row>
    <row r="5" spans="1:111" ht="50.45" customHeight="1" x14ac:dyDescent="0.25">
      <c r="A5" s="97">
        <f>ROW()-3</f>
        <v>2</v>
      </c>
      <c r="B5" s="138" t="s">
        <v>916</v>
      </c>
      <c r="C5" s="134" t="s">
        <v>917</v>
      </c>
      <c r="D5" s="13"/>
      <c r="E5" s="134">
        <v>250</v>
      </c>
      <c r="F5" s="134"/>
      <c r="G5" s="134" t="s">
        <v>241</v>
      </c>
      <c r="H5" s="134" t="s">
        <v>15</v>
      </c>
      <c r="I5" s="134">
        <v>250</v>
      </c>
      <c r="J5" s="2"/>
      <c r="K5" s="31"/>
      <c r="L5" s="31"/>
      <c r="M5" s="2"/>
      <c r="N5" s="31"/>
      <c r="O5" s="31"/>
      <c r="P5" s="2"/>
      <c r="Q5" s="38"/>
      <c r="R5" s="38"/>
      <c r="S5" s="40"/>
      <c r="T5" s="38"/>
      <c r="U5" s="38"/>
      <c r="V5" s="2"/>
      <c r="W5" s="2"/>
      <c r="X5" s="38"/>
      <c r="Y5" s="2"/>
      <c r="Z5" s="38"/>
      <c r="AA5" s="38"/>
      <c r="AB5" s="2"/>
      <c r="AC5" s="38"/>
      <c r="AD5" s="38"/>
      <c r="AE5" s="2"/>
      <c r="AF5" s="5"/>
      <c r="AG5" s="5"/>
      <c r="AH5" s="14"/>
      <c r="AI5" s="5"/>
      <c r="AJ5" s="5"/>
      <c r="AK5" s="5"/>
      <c r="AL5" s="5"/>
      <c r="AM5" s="5"/>
      <c r="AN5" s="5"/>
      <c r="AO5" s="5"/>
      <c r="AP5" s="5"/>
      <c r="AQ5" s="14"/>
      <c r="AR5" s="5"/>
      <c r="AS5" s="5"/>
      <c r="AT5" s="14"/>
      <c r="AU5" s="5"/>
      <c r="AV5" s="5"/>
      <c r="AW5" s="14" t="s">
        <v>31</v>
      </c>
      <c r="AX5" s="5"/>
      <c r="AY5" s="5"/>
      <c r="AZ5" s="32" t="s">
        <v>31</v>
      </c>
      <c r="BA5" s="5"/>
      <c r="BB5" s="5"/>
      <c r="BC5" s="2"/>
      <c r="BD5" s="5"/>
      <c r="BE5" s="5"/>
      <c r="BF5" s="5"/>
      <c r="BG5" s="5"/>
      <c r="BH5" s="5"/>
      <c r="BI5" s="14"/>
      <c r="BJ5" s="5"/>
      <c r="BK5" s="5"/>
      <c r="BL5" s="14"/>
      <c r="BM5" s="5"/>
      <c r="BN5" s="5"/>
      <c r="BO5" s="2" t="s">
        <v>31</v>
      </c>
      <c r="BP5" s="5"/>
      <c r="BQ5" s="5"/>
      <c r="BR5" s="14"/>
      <c r="BS5" s="5"/>
      <c r="BT5" s="5"/>
      <c r="BU5" s="2"/>
      <c r="BV5" s="5"/>
      <c r="BW5" s="5"/>
      <c r="BX5" s="2"/>
      <c r="BY5" s="5"/>
      <c r="BZ5" s="5"/>
      <c r="CA5" s="5"/>
      <c r="CB5" s="5"/>
      <c r="CC5" s="5"/>
      <c r="CD5" s="135">
        <f>COUNTA(J5:CC5)</f>
        <v>3</v>
      </c>
      <c r="CE5" s="28" t="s">
        <v>918</v>
      </c>
      <c r="CF5" s="28"/>
      <c r="CG5" s="20" t="s">
        <v>1003</v>
      </c>
      <c r="CH5" s="27" t="str">
        <f t="shared" si="0"/>
        <v>3</v>
      </c>
    </row>
    <row r="6" spans="1:111" ht="11.45" customHeight="1" x14ac:dyDescent="0.25">
      <c r="A6" s="162"/>
      <c r="B6" s="152"/>
      <c r="C6" s="153"/>
      <c r="D6" s="153"/>
      <c r="E6" s="153"/>
      <c r="F6" s="153"/>
      <c r="G6" s="153"/>
      <c r="H6" s="153"/>
      <c r="I6" s="153"/>
      <c r="J6" s="155"/>
      <c r="K6" s="163"/>
      <c r="L6" s="163"/>
      <c r="M6" s="155"/>
      <c r="N6" s="163"/>
      <c r="O6" s="163"/>
      <c r="P6" s="155"/>
      <c r="Q6" s="149"/>
      <c r="R6" s="149"/>
      <c r="S6" s="157"/>
      <c r="T6" s="149"/>
      <c r="U6" s="149"/>
      <c r="V6" s="155"/>
      <c r="W6" s="155"/>
      <c r="X6" s="149"/>
      <c r="Y6" s="155"/>
      <c r="Z6" s="149"/>
      <c r="AA6" s="149"/>
      <c r="AB6" s="155"/>
      <c r="AC6" s="149"/>
      <c r="AD6" s="149"/>
      <c r="AE6" s="155"/>
      <c r="AF6" s="158"/>
      <c r="AG6" s="158"/>
      <c r="AH6" s="156"/>
      <c r="AI6" s="158"/>
      <c r="AJ6" s="158"/>
      <c r="AK6" s="158"/>
      <c r="AL6" s="158"/>
      <c r="AM6" s="158"/>
      <c r="AN6" s="158"/>
      <c r="AO6" s="158"/>
      <c r="AP6" s="158"/>
      <c r="AQ6" s="156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5"/>
      <c r="BD6" s="158"/>
      <c r="BE6" s="158"/>
      <c r="BF6" s="158"/>
      <c r="BG6" s="158"/>
      <c r="BH6" s="158"/>
      <c r="BI6" s="156"/>
      <c r="BJ6" s="158"/>
      <c r="BK6" s="158"/>
      <c r="BL6" s="156"/>
      <c r="BM6" s="158"/>
      <c r="BN6" s="158"/>
      <c r="BO6" s="155"/>
      <c r="BP6" s="158"/>
      <c r="BQ6" s="158"/>
      <c r="BR6" s="156"/>
      <c r="BS6" s="158"/>
      <c r="BT6" s="158"/>
      <c r="BU6" s="155"/>
      <c r="BV6" s="158"/>
      <c r="BW6" s="158"/>
      <c r="BX6" s="155"/>
      <c r="BY6" s="158"/>
      <c r="BZ6" s="158"/>
      <c r="CA6" s="158"/>
      <c r="CB6" s="158"/>
      <c r="CC6" s="158"/>
      <c r="CD6" s="159"/>
      <c r="CE6" s="160"/>
      <c r="CF6" s="160"/>
      <c r="CG6" s="88"/>
      <c r="CH6" s="161"/>
    </row>
    <row r="7" spans="1:111" ht="50.45" customHeight="1" x14ac:dyDescent="0.25">
      <c r="A7" s="97">
        <f>ROW()-4</f>
        <v>3</v>
      </c>
      <c r="B7" s="299" t="s">
        <v>367</v>
      </c>
      <c r="C7" s="134" t="s">
        <v>368</v>
      </c>
      <c r="D7" s="134">
        <v>4352422795</v>
      </c>
      <c r="E7" s="134"/>
      <c r="F7" s="134"/>
      <c r="G7" s="134" t="s">
        <v>241</v>
      </c>
      <c r="H7" s="134" t="s">
        <v>30</v>
      </c>
      <c r="I7" s="134">
        <v>2000</v>
      </c>
      <c r="J7" s="4"/>
      <c r="K7" s="31"/>
      <c r="L7" s="31"/>
      <c r="M7" s="31"/>
      <c r="N7" s="31"/>
      <c r="O7" s="31"/>
      <c r="P7" s="14" t="s">
        <v>31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14" t="s">
        <v>31</v>
      </c>
      <c r="AU7" s="5"/>
      <c r="AV7" s="5"/>
      <c r="AW7" s="14" t="s">
        <v>31</v>
      </c>
      <c r="AX7" s="5"/>
      <c r="AY7" s="5"/>
      <c r="AZ7" s="32" t="s">
        <v>31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135">
        <f t="shared" ref="CD7:CD12" si="1">COUNTA(J7:CC7)</f>
        <v>4</v>
      </c>
      <c r="CE7" s="28" t="s">
        <v>924</v>
      </c>
      <c r="CF7" s="28" t="s">
        <v>758</v>
      </c>
      <c r="CG7" s="20" t="s">
        <v>925</v>
      </c>
      <c r="CH7" s="27" t="str">
        <f t="shared" ref="CH7" si="2">IF(CD7&lt;=0,"0",IF(CD7=1,"1",IF(CD7=2,"2",IF(CD7=3,"3",IF(CD7&gt;=4,"4")))))</f>
        <v>4</v>
      </c>
    </row>
    <row r="8" spans="1:111" ht="50.45" customHeight="1" x14ac:dyDescent="0.25">
      <c r="A8" s="97">
        <f t="shared" ref="A8:A63" si="3">ROW()-4</f>
        <v>4</v>
      </c>
      <c r="B8" s="138" t="s">
        <v>326</v>
      </c>
      <c r="C8" s="134" t="s">
        <v>327</v>
      </c>
      <c r="D8" s="38"/>
      <c r="E8" s="134">
        <v>800</v>
      </c>
      <c r="F8" s="134"/>
      <c r="G8" s="134" t="s">
        <v>242</v>
      </c>
      <c r="H8" s="134" t="s">
        <v>30</v>
      </c>
      <c r="I8" s="134"/>
      <c r="J8" s="2"/>
      <c r="K8" s="32"/>
      <c r="L8" s="32"/>
      <c r="M8" s="32"/>
      <c r="N8" s="2"/>
      <c r="O8" s="32"/>
      <c r="P8" s="2"/>
      <c r="Q8" s="2"/>
      <c r="R8" s="2"/>
      <c r="S8" s="40"/>
      <c r="T8" s="40"/>
      <c r="U8" s="40"/>
      <c r="V8" s="2"/>
      <c r="W8" s="2"/>
      <c r="X8" s="2"/>
      <c r="Y8" s="2"/>
      <c r="Z8" s="2"/>
      <c r="AA8" s="2"/>
      <c r="AB8" s="2"/>
      <c r="AC8" s="2"/>
      <c r="AD8" s="5"/>
      <c r="AE8" s="2"/>
      <c r="AF8" s="2"/>
      <c r="AG8" s="2"/>
      <c r="AH8" s="2"/>
      <c r="AI8" s="2"/>
      <c r="AJ8" s="2"/>
      <c r="AK8" s="2"/>
      <c r="AL8" s="16"/>
      <c r="AM8" s="2"/>
      <c r="AN8" s="2"/>
      <c r="AO8" s="16"/>
      <c r="AP8" s="2"/>
      <c r="AQ8" s="2"/>
      <c r="AR8" s="16"/>
      <c r="AS8" s="2"/>
      <c r="AT8" s="2" t="s">
        <v>31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35">
        <f t="shared" si="1"/>
        <v>1</v>
      </c>
      <c r="CE8" s="28" t="s">
        <v>899</v>
      </c>
      <c r="CF8" s="28"/>
      <c r="CG8" s="20" t="s">
        <v>900</v>
      </c>
      <c r="CH8" s="27" t="str">
        <f t="shared" si="0"/>
        <v>1</v>
      </c>
    </row>
    <row r="9" spans="1:111" ht="50.45" customHeight="1" x14ac:dyDescent="0.25">
      <c r="A9" s="97">
        <f t="shared" si="3"/>
        <v>5</v>
      </c>
      <c r="B9" s="299" t="s">
        <v>913</v>
      </c>
      <c r="C9" s="134" t="s">
        <v>914</v>
      </c>
      <c r="D9" s="38"/>
      <c r="E9" s="134">
        <v>950</v>
      </c>
      <c r="F9" s="134"/>
      <c r="G9" s="134" t="s">
        <v>241</v>
      </c>
      <c r="H9" s="134" t="s">
        <v>30</v>
      </c>
      <c r="I9" s="134"/>
      <c r="J9" s="2"/>
      <c r="K9" s="32"/>
      <c r="L9" s="32"/>
      <c r="M9" s="32"/>
      <c r="N9" s="2"/>
      <c r="O9" s="32"/>
      <c r="P9" s="2"/>
      <c r="Q9" s="2"/>
      <c r="R9" s="2"/>
      <c r="S9" s="40"/>
      <c r="T9" s="40"/>
      <c r="U9" s="40"/>
      <c r="V9" s="2"/>
      <c r="W9" s="2"/>
      <c r="X9" s="2"/>
      <c r="Y9" s="2"/>
      <c r="Z9" s="2"/>
      <c r="AA9" s="2"/>
      <c r="AB9" s="2"/>
      <c r="AC9" s="2"/>
      <c r="AD9" s="5"/>
      <c r="AE9" s="2"/>
      <c r="AF9" s="2"/>
      <c r="AG9" s="2"/>
      <c r="AH9" s="2"/>
      <c r="AI9" s="2"/>
      <c r="AJ9" s="2"/>
      <c r="AK9" s="2"/>
      <c r="AL9" s="16"/>
      <c r="AM9" s="2"/>
      <c r="AN9" s="2"/>
      <c r="AO9" s="16"/>
      <c r="AP9" s="2"/>
      <c r="AQ9" s="2"/>
      <c r="AR9" s="16"/>
      <c r="AS9" s="2"/>
      <c r="AT9" s="2"/>
      <c r="AU9" s="2"/>
      <c r="AV9" s="2"/>
      <c r="AW9" s="2" t="s">
        <v>31</v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 t="s">
        <v>31</v>
      </c>
      <c r="BM9" s="2"/>
      <c r="BN9" s="2"/>
      <c r="BO9" s="2" t="s">
        <v>31</v>
      </c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35">
        <f t="shared" si="1"/>
        <v>3</v>
      </c>
      <c r="CE9" s="28" t="s">
        <v>915</v>
      </c>
      <c r="CF9" s="28"/>
      <c r="CG9" s="20" t="s">
        <v>1002</v>
      </c>
      <c r="CH9" s="27" t="str">
        <f t="shared" si="0"/>
        <v>3</v>
      </c>
    </row>
    <row r="10" spans="1:111" ht="50.45" customHeight="1" x14ac:dyDescent="0.25">
      <c r="A10" s="97">
        <f t="shared" si="3"/>
        <v>6</v>
      </c>
      <c r="B10" s="138" t="s">
        <v>438</v>
      </c>
      <c r="C10" s="134" t="s">
        <v>538</v>
      </c>
      <c r="D10" s="38"/>
      <c r="E10" s="134">
        <v>1000</v>
      </c>
      <c r="F10" s="134"/>
      <c r="G10" s="134" t="s">
        <v>242</v>
      </c>
      <c r="H10" s="134" t="s">
        <v>30</v>
      </c>
      <c r="I10" s="134"/>
      <c r="J10" s="2"/>
      <c r="K10" s="32"/>
      <c r="L10" s="32"/>
      <c r="M10" s="32"/>
      <c r="N10" s="2"/>
      <c r="O10" s="32"/>
      <c r="P10" s="2" t="s">
        <v>31</v>
      </c>
      <c r="Q10" s="2"/>
      <c r="R10" s="2"/>
      <c r="S10" s="40"/>
      <c r="T10" s="40"/>
      <c r="U10" s="40"/>
      <c r="V10" s="2"/>
      <c r="W10" s="2"/>
      <c r="X10" s="2"/>
      <c r="Y10" s="2"/>
      <c r="Z10" s="2"/>
      <c r="AA10" s="2"/>
      <c r="AB10" s="2"/>
      <c r="AC10" s="2"/>
      <c r="AD10" s="5"/>
      <c r="AE10" s="2"/>
      <c r="AF10" s="2"/>
      <c r="AG10" s="2"/>
      <c r="AH10" s="2"/>
      <c r="AI10" s="2"/>
      <c r="AJ10" s="2"/>
      <c r="AK10" s="2"/>
      <c r="AL10" s="16"/>
      <c r="AM10" s="2"/>
      <c r="AN10" s="2"/>
      <c r="AO10" s="16"/>
      <c r="AP10" s="2"/>
      <c r="AQ10" s="2"/>
      <c r="AR10" s="16"/>
      <c r="AS10" s="2"/>
      <c r="AT10" s="2"/>
      <c r="AU10" s="2"/>
      <c r="AV10" s="2"/>
      <c r="AW10" s="2"/>
      <c r="AX10" s="2"/>
      <c r="AY10" s="2"/>
      <c r="AZ10" s="2" t="s">
        <v>31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135">
        <f t="shared" si="1"/>
        <v>2</v>
      </c>
      <c r="CE10" s="28"/>
      <c r="CF10" s="28"/>
      <c r="CG10" s="20" t="s">
        <v>927</v>
      </c>
      <c r="CH10" s="27" t="str">
        <f t="shared" si="0"/>
        <v>2</v>
      </c>
    </row>
    <row r="11" spans="1:111" ht="50.45" customHeight="1" x14ac:dyDescent="0.25">
      <c r="A11" s="97">
        <f t="shared" si="3"/>
        <v>7</v>
      </c>
      <c r="B11" s="222" t="s">
        <v>413</v>
      </c>
      <c r="C11" s="139" t="s">
        <v>414</v>
      </c>
      <c r="D11" s="140" t="s">
        <v>415</v>
      </c>
      <c r="E11" s="139" t="s">
        <v>416</v>
      </c>
      <c r="F11" s="139"/>
      <c r="G11" s="134" t="s">
        <v>241</v>
      </c>
      <c r="H11" s="134" t="s">
        <v>30</v>
      </c>
      <c r="I11" s="134">
        <v>2000</v>
      </c>
      <c r="J11" s="131"/>
      <c r="K11" s="132"/>
      <c r="L11" s="131"/>
      <c r="M11" s="2"/>
      <c r="N11" s="2"/>
      <c r="O11" s="131"/>
      <c r="P11" s="2" t="s">
        <v>31</v>
      </c>
      <c r="Q11" s="54"/>
      <c r="R11" s="54"/>
      <c r="S11" s="40"/>
      <c r="T11" s="40"/>
      <c r="U11" s="40"/>
      <c r="V11" s="2"/>
      <c r="W11" s="2"/>
      <c r="X11" s="2"/>
      <c r="Y11" s="2"/>
      <c r="Z11" s="2"/>
      <c r="AA11" s="2"/>
      <c r="AB11" s="56"/>
      <c r="AC11" s="53"/>
      <c r="AD11" s="54"/>
      <c r="AE11" s="2"/>
      <c r="AF11" s="53"/>
      <c r="AG11" s="53"/>
      <c r="AH11" s="56"/>
      <c r="AI11" s="53"/>
      <c r="AJ11" s="53"/>
      <c r="AK11" s="2"/>
      <c r="AL11" s="53"/>
      <c r="AM11" s="53"/>
      <c r="AN11" s="53"/>
      <c r="AO11" s="53"/>
      <c r="AP11" s="53"/>
      <c r="AQ11" s="2"/>
      <c r="AR11" s="53"/>
      <c r="AS11" s="53"/>
      <c r="AT11" s="2" t="s">
        <v>31</v>
      </c>
      <c r="AU11" s="53"/>
      <c r="AV11" s="53"/>
      <c r="AW11" s="2" t="s">
        <v>31</v>
      </c>
      <c r="AX11" s="53"/>
      <c r="AY11" s="53"/>
      <c r="AZ11" s="2" t="s">
        <v>31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35">
        <f t="shared" si="1"/>
        <v>4</v>
      </c>
      <c r="CE11" s="28" t="s">
        <v>904</v>
      </c>
      <c r="CF11" s="28"/>
      <c r="CG11" s="20" t="s">
        <v>928</v>
      </c>
      <c r="CH11" s="27" t="str">
        <f t="shared" si="0"/>
        <v>4</v>
      </c>
    </row>
    <row r="12" spans="1:111" ht="50.45" customHeight="1" x14ac:dyDescent="0.25">
      <c r="A12" s="97">
        <f t="shared" si="3"/>
        <v>8</v>
      </c>
      <c r="B12" s="138" t="s">
        <v>762</v>
      </c>
      <c r="C12" s="134" t="s">
        <v>763</v>
      </c>
      <c r="D12" s="38"/>
      <c r="E12" s="134">
        <v>800</v>
      </c>
      <c r="F12" s="134"/>
      <c r="G12" s="134" t="s">
        <v>241</v>
      </c>
      <c r="H12" s="134" t="s">
        <v>30</v>
      </c>
      <c r="I12" s="134">
        <v>800</v>
      </c>
      <c r="J12" s="2"/>
      <c r="K12" s="32"/>
      <c r="L12" s="32"/>
      <c r="M12" s="32"/>
      <c r="N12" s="2"/>
      <c r="O12" s="32"/>
      <c r="P12" s="2" t="s">
        <v>31</v>
      </c>
      <c r="Q12" s="2"/>
      <c r="R12" s="2"/>
      <c r="S12" s="40"/>
      <c r="T12" s="40"/>
      <c r="U12" s="40"/>
      <c r="V12" s="2"/>
      <c r="W12" s="2"/>
      <c r="X12" s="2"/>
      <c r="Y12" s="2"/>
      <c r="Z12" s="2"/>
      <c r="AA12" s="2"/>
      <c r="AB12" s="2"/>
      <c r="AC12" s="2"/>
      <c r="AD12" s="5"/>
      <c r="AE12" s="2"/>
      <c r="AF12" s="2"/>
      <c r="AG12" s="2"/>
      <c r="AH12" s="2"/>
      <c r="AI12" s="2"/>
      <c r="AJ12" s="2"/>
      <c r="AK12" s="2"/>
      <c r="AL12" s="16"/>
      <c r="AM12" s="2"/>
      <c r="AN12" s="2"/>
      <c r="AO12" s="16"/>
      <c r="AP12" s="2"/>
      <c r="AQ12" s="2"/>
      <c r="AR12" s="16"/>
      <c r="AS12" s="2"/>
      <c r="AT12" s="2" t="s">
        <v>31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 t="s">
        <v>31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35">
        <f t="shared" si="1"/>
        <v>3</v>
      </c>
      <c r="CE12" s="28" t="s">
        <v>764</v>
      </c>
      <c r="CF12" s="28"/>
      <c r="CG12" s="20" t="s">
        <v>964</v>
      </c>
      <c r="CH12" s="27" t="str">
        <f t="shared" ref="CH12" si="4">IF(CD12&lt;=0,"0",IF(CD12=1,"1",IF(CD12=2,"2",IF(CD12=3,"3",IF(CD12&gt;=4,"4")))))</f>
        <v>3</v>
      </c>
    </row>
    <row r="58" spans="1:86" ht="50.45" customHeight="1" x14ac:dyDescent="0.25">
      <c r="A58" s="97">
        <f>ROW()-3</f>
        <v>55</v>
      </c>
      <c r="B58" s="214" t="s">
        <v>519</v>
      </c>
      <c r="C58" s="134" t="s">
        <v>520</v>
      </c>
      <c r="D58" s="38" t="s">
        <v>15</v>
      </c>
      <c r="E58" s="134">
        <v>700</v>
      </c>
      <c r="F58" s="134"/>
      <c r="G58" s="134" t="s">
        <v>242</v>
      </c>
      <c r="H58" s="134" t="s">
        <v>15</v>
      </c>
      <c r="I58" s="134">
        <v>700</v>
      </c>
      <c r="J58" s="2"/>
      <c r="K58" s="31"/>
      <c r="L58" s="31"/>
      <c r="M58" s="2"/>
      <c r="N58" s="31"/>
      <c r="O58" s="31"/>
      <c r="P58" s="2"/>
      <c r="Q58" s="38"/>
      <c r="R58" s="38"/>
      <c r="S58" s="40"/>
      <c r="T58" s="38"/>
      <c r="U58" s="38"/>
      <c r="V58" s="2"/>
      <c r="W58" s="2"/>
      <c r="X58" s="38"/>
      <c r="Y58" s="2"/>
      <c r="Z58" s="38"/>
      <c r="AA58" s="38"/>
      <c r="AB58" s="2"/>
      <c r="AC58" s="38"/>
      <c r="AD58" s="38"/>
      <c r="AE58" s="2"/>
      <c r="AF58" s="5"/>
      <c r="AG58" s="5"/>
      <c r="AH58" s="14"/>
      <c r="AI58" s="5"/>
      <c r="AJ58" s="5"/>
      <c r="AK58" s="5"/>
      <c r="AL58" s="5"/>
      <c r="AM58" s="5"/>
      <c r="AN58" s="5"/>
      <c r="AO58" s="5"/>
      <c r="AP58" s="5"/>
      <c r="AQ58" s="14"/>
      <c r="AR58" s="5"/>
      <c r="AS58" s="5"/>
      <c r="AT58" s="14"/>
      <c r="AU58" s="5"/>
      <c r="AV58" s="5"/>
      <c r="AW58" s="14"/>
      <c r="AX58" s="5"/>
      <c r="AY58" s="5"/>
      <c r="AZ58" s="32"/>
      <c r="BA58" s="5"/>
      <c r="BB58" s="5"/>
      <c r="BC58" s="2"/>
      <c r="BD58" s="5"/>
      <c r="BE58" s="5"/>
      <c r="BF58" s="5"/>
      <c r="BG58" s="5"/>
      <c r="BH58" s="5"/>
      <c r="BI58" s="14"/>
      <c r="BJ58" s="5"/>
      <c r="BK58" s="5"/>
      <c r="BL58" s="14"/>
      <c r="BM58" s="5"/>
      <c r="BN58" s="5"/>
      <c r="BO58" s="2" t="s">
        <v>31</v>
      </c>
      <c r="BP58" s="5"/>
      <c r="BQ58" s="5"/>
      <c r="BR58" s="14"/>
      <c r="BS58" s="5"/>
      <c r="BT58" s="5"/>
      <c r="BU58" s="2"/>
      <c r="BV58" s="5"/>
      <c r="BW58" s="5"/>
      <c r="BX58" s="2"/>
      <c r="BY58" s="5"/>
      <c r="BZ58" s="5"/>
      <c r="CA58" s="5"/>
      <c r="CB58" s="5"/>
      <c r="CC58" s="5"/>
      <c r="CD58" s="135">
        <f t="shared" ref="CD58:CD63" si="5">COUNTA(J58:CC58)</f>
        <v>1</v>
      </c>
      <c r="CE58" s="28"/>
      <c r="CF58" s="28"/>
      <c r="CG58" s="20" t="s">
        <v>998</v>
      </c>
      <c r="CH58" s="27" t="str">
        <f t="shared" ref="CH58:CH63" si="6">IF(CD58&lt;=0,"0",IF(CD58=1,"1",IF(CD58=2,"2",IF(CD58=3,"3",IF(CD58&gt;=4,"4")))))</f>
        <v>1</v>
      </c>
    </row>
    <row r="59" spans="1:86" ht="50.45" customHeight="1" x14ac:dyDescent="0.25">
      <c r="A59" s="97">
        <f>ROW()-4</f>
        <v>55</v>
      </c>
      <c r="B59" s="214" t="s">
        <v>996</v>
      </c>
      <c r="C59" s="134" t="s">
        <v>818</v>
      </c>
      <c r="D59" s="134" t="s">
        <v>30</v>
      </c>
      <c r="E59" s="134">
        <v>1320</v>
      </c>
      <c r="F59" s="134"/>
      <c r="G59" s="134" t="s">
        <v>242</v>
      </c>
      <c r="H59" s="134" t="s">
        <v>30</v>
      </c>
      <c r="I59" s="134">
        <v>1320</v>
      </c>
      <c r="J59" s="4"/>
      <c r="K59" s="31"/>
      <c r="L59" s="31"/>
      <c r="M59" s="31"/>
      <c r="N59" s="31"/>
      <c r="O59" s="31"/>
      <c r="P59" s="14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14"/>
      <c r="AU59" s="5"/>
      <c r="AV59" s="5"/>
      <c r="AW59" s="14"/>
      <c r="AX59" s="5"/>
      <c r="AY59" s="5"/>
      <c r="AZ59" s="32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2" t="s">
        <v>31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135">
        <f t="shared" si="5"/>
        <v>1</v>
      </c>
      <c r="CE59" s="28"/>
      <c r="CF59" s="28"/>
      <c r="CG59" s="20" t="s">
        <v>997</v>
      </c>
      <c r="CH59" s="27" t="str">
        <f t="shared" si="6"/>
        <v>1</v>
      </c>
    </row>
    <row r="60" spans="1:86" ht="50.45" customHeight="1" x14ac:dyDescent="0.25">
      <c r="A60" s="97">
        <f>ROW()-4</f>
        <v>56</v>
      </c>
      <c r="B60" s="214" t="s">
        <v>417</v>
      </c>
      <c r="C60" s="134" t="s">
        <v>1005</v>
      </c>
      <c r="D60" s="134" t="s">
        <v>30</v>
      </c>
      <c r="E60" s="134">
        <v>700</v>
      </c>
      <c r="F60" s="134"/>
      <c r="G60" s="134" t="s">
        <v>242</v>
      </c>
      <c r="H60" s="134" t="s">
        <v>30</v>
      </c>
      <c r="I60" s="134">
        <v>700</v>
      </c>
      <c r="J60" s="4"/>
      <c r="K60" s="31"/>
      <c r="L60" s="31"/>
      <c r="M60" s="31"/>
      <c r="N60" s="31"/>
      <c r="O60" s="31"/>
      <c r="P60" s="14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14"/>
      <c r="AU60" s="5"/>
      <c r="AV60" s="5"/>
      <c r="AW60" s="14"/>
      <c r="AX60" s="5"/>
      <c r="AY60" s="5"/>
      <c r="AZ60" s="32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2"/>
      <c r="BM60" s="5"/>
      <c r="BN60" s="5"/>
      <c r="BO60" s="2" t="s">
        <v>31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135">
        <f t="shared" si="5"/>
        <v>1</v>
      </c>
      <c r="CE60" s="28"/>
      <c r="CF60" s="28"/>
      <c r="CG60" s="20" t="s">
        <v>1006</v>
      </c>
      <c r="CH60" s="27" t="str">
        <f t="shared" si="6"/>
        <v>1</v>
      </c>
    </row>
    <row r="61" spans="1:86" ht="50.45" customHeight="1" x14ac:dyDescent="0.25">
      <c r="A61" s="97">
        <f t="shared" si="3"/>
        <v>57</v>
      </c>
      <c r="B61" s="214" t="s">
        <v>334</v>
      </c>
      <c r="C61" s="134" t="s">
        <v>310</v>
      </c>
      <c r="D61" s="38" t="s">
        <v>30</v>
      </c>
      <c r="E61" s="134">
        <v>1400</v>
      </c>
      <c r="F61" s="134"/>
      <c r="G61" s="134" t="s">
        <v>242</v>
      </c>
      <c r="H61" s="134" t="s">
        <v>30</v>
      </c>
      <c r="I61" s="134">
        <v>1400</v>
      </c>
      <c r="J61" s="2"/>
      <c r="K61" s="32"/>
      <c r="L61" s="32"/>
      <c r="M61" s="32"/>
      <c r="N61" s="2"/>
      <c r="O61" s="32"/>
      <c r="P61" s="2"/>
      <c r="Q61" s="2"/>
      <c r="R61" s="2"/>
      <c r="S61" s="40"/>
      <c r="T61" s="40"/>
      <c r="U61" s="40"/>
      <c r="V61" s="2"/>
      <c r="W61" s="2"/>
      <c r="X61" s="2"/>
      <c r="Y61" s="2"/>
      <c r="Z61" s="2"/>
      <c r="AA61" s="2"/>
      <c r="AB61" s="2"/>
      <c r="AC61" s="2"/>
      <c r="AD61" s="5"/>
      <c r="AE61" s="2"/>
      <c r="AF61" s="2"/>
      <c r="AG61" s="2"/>
      <c r="AH61" s="2"/>
      <c r="AI61" s="2"/>
      <c r="AJ61" s="2"/>
      <c r="AK61" s="2"/>
      <c r="AL61" s="16"/>
      <c r="AM61" s="2"/>
      <c r="AN61" s="2"/>
      <c r="AO61" s="16"/>
      <c r="AP61" s="2"/>
      <c r="AQ61" s="2"/>
      <c r="AR61" s="16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 t="s">
        <v>31</v>
      </c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135">
        <f t="shared" si="5"/>
        <v>1</v>
      </c>
      <c r="CE61" s="28"/>
      <c r="CF61" s="28"/>
      <c r="CG61" s="20" t="s">
        <v>1004</v>
      </c>
      <c r="CH61" s="27" t="str">
        <f t="shared" si="6"/>
        <v>1</v>
      </c>
    </row>
    <row r="62" spans="1:86" ht="50.45" customHeight="1" x14ac:dyDescent="0.25">
      <c r="A62" s="97">
        <f t="shared" si="3"/>
        <v>58</v>
      </c>
      <c r="B62" s="214" t="s">
        <v>790</v>
      </c>
      <c r="C62" s="134" t="s">
        <v>791</v>
      </c>
      <c r="D62" s="38"/>
      <c r="E62" s="134">
        <v>1200</v>
      </c>
      <c r="F62" s="134"/>
      <c r="G62" s="134" t="s">
        <v>242</v>
      </c>
      <c r="H62" s="134" t="s">
        <v>30</v>
      </c>
      <c r="I62" s="134">
        <v>1200</v>
      </c>
      <c r="J62" s="2"/>
      <c r="K62" s="32"/>
      <c r="L62" s="32"/>
      <c r="M62" s="32"/>
      <c r="N62" s="2"/>
      <c r="O62" s="32"/>
      <c r="P62" s="2"/>
      <c r="Q62" s="2"/>
      <c r="R62" s="2"/>
      <c r="S62" s="40"/>
      <c r="T62" s="40"/>
      <c r="U62" s="40"/>
      <c r="V62" s="2"/>
      <c r="W62" s="2"/>
      <c r="X62" s="2"/>
      <c r="Y62" s="2"/>
      <c r="Z62" s="2"/>
      <c r="AA62" s="2"/>
      <c r="AB62" s="2"/>
      <c r="AC62" s="2"/>
      <c r="AD62" s="5"/>
      <c r="AE62" s="2"/>
      <c r="AF62" s="2"/>
      <c r="AG62" s="2"/>
      <c r="AH62" s="2"/>
      <c r="AI62" s="2"/>
      <c r="AJ62" s="2"/>
      <c r="AK62" s="2"/>
      <c r="AL62" s="16"/>
      <c r="AM62" s="2"/>
      <c r="AN62" s="2"/>
      <c r="AO62" s="16"/>
      <c r="AP62" s="2"/>
      <c r="AQ62" s="2"/>
      <c r="AR62" s="16"/>
      <c r="AS62" s="2"/>
      <c r="AT62" s="2" t="s">
        <v>31</v>
      </c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135">
        <f t="shared" si="5"/>
        <v>1</v>
      </c>
      <c r="CE62" s="28"/>
      <c r="CF62" s="28"/>
      <c r="CG62" s="20" t="s">
        <v>898</v>
      </c>
      <c r="CH62" s="27" t="str">
        <f t="shared" si="6"/>
        <v>1</v>
      </c>
    </row>
    <row r="63" spans="1:86" ht="50.45" customHeight="1" x14ac:dyDescent="0.25">
      <c r="A63" s="97">
        <f t="shared" si="3"/>
        <v>59</v>
      </c>
      <c r="B63" s="214" t="s">
        <v>889</v>
      </c>
      <c r="C63" s="134" t="s">
        <v>890</v>
      </c>
      <c r="D63" s="38"/>
      <c r="E63" s="134">
        <v>2000</v>
      </c>
      <c r="F63" s="134"/>
      <c r="G63" s="134" t="s">
        <v>241</v>
      </c>
      <c r="H63" s="134" t="s">
        <v>30</v>
      </c>
      <c r="I63" s="134">
        <v>2000</v>
      </c>
      <c r="J63" s="2"/>
      <c r="K63" s="32"/>
      <c r="L63" s="32"/>
      <c r="M63" s="32"/>
      <c r="N63" s="2"/>
      <c r="O63" s="32"/>
      <c r="P63" s="2"/>
      <c r="Q63" s="2"/>
      <c r="R63" s="2"/>
      <c r="S63" s="40"/>
      <c r="T63" s="40"/>
      <c r="U63" s="40"/>
      <c r="V63" s="2"/>
      <c r="W63" s="2"/>
      <c r="X63" s="2"/>
      <c r="Y63" s="2"/>
      <c r="Z63" s="2"/>
      <c r="AA63" s="2"/>
      <c r="AB63" s="2"/>
      <c r="AC63" s="2"/>
      <c r="AD63" s="5"/>
      <c r="AE63" s="2"/>
      <c r="AF63" s="2"/>
      <c r="AG63" s="2"/>
      <c r="AH63" s="2"/>
      <c r="AI63" s="2"/>
      <c r="AJ63" s="2"/>
      <c r="AK63" s="2"/>
      <c r="AL63" s="16"/>
      <c r="AM63" s="2"/>
      <c r="AN63" s="2"/>
      <c r="AO63" s="16"/>
      <c r="AP63" s="2"/>
      <c r="AQ63" s="2"/>
      <c r="AR63" s="16"/>
      <c r="AS63" s="2"/>
      <c r="AT63" s="2" t="s">
        <v>31</v>
      </c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135">
        <f t="shared" si="5"/>
        <v>1</v>
      </c>
      <c r="CE63" s="28" t="s">
        <v>891</v>
      </c>
      <c r="CF63" s="28"/>
      <c r="CG63" s="20" t="s">
        <v>892</v>
      </c>
      <c r="CH63" s="27" t="str">
        <f t="shared" si="6"/>
        <v>1</v>
      </c>
    </row>
  </sheetData>
  <sortState ref="B8:CG17">
    <sortCondition ref="B8"/>
  </sortState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6"/>
  <sheetViews>
    <sheetView zoomScale="70" zoomScaleNormal="70" workbookViewId="0">
      <selection activeCell="BT13" sqref="BT13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customWidth="1"/>
    <col min="5" max="5" width="25.7109375" style="21" hidden="1" customWidth="1"/>
    <col min="6" max="6" width="18.28515625" style="21" hidden="1" customWidth="1"/>
    <col min="7" max="7" width="24.71093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24" width="5.28515625" style="13" hidden="1" customWidth="1"/>
    <col min="25" max="33" width="5.28515625" style="6" hidden="1" customWidth="1"/>
    <col min="34" max="34" width="7.7109375" style="6" customWidth="1"/>
    <col min="35" max="35" width="25" style="6" customWidth="1"/>
    <col min="36" max="36" width="28.140625" style="6" customWidth="1"/>
    <col min="37" max="37" width="32.85546875" style="23" customWidth="1"/>
    <col min="38" max="38" width="6.28515625" style="13" customWidth="1"/>
    <col min="39" max="16384" width="9.140625" style="13"/>
  </cols>
  <sheetData>
    <row r="1" spans="1:63" s="29" customFormat="1" ht="33.75" customHeight="1" thickBot="1" x14ac:dyDescent="0.3">
      <c r="A1" s="398" t="s">
        <v>848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94"/>
      <c r="AN1" s="94"/>
      <c r="AO1" s="94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</row>
    <row r="2" spans="1:63" ht="23.45" customHeight="1" thickBot="1" x14ac:dyDescent="0.3">
      <c r="A2" s="387" t="s">
        <v>16</v>
      </c>
      <c r="B2" s="392" t="s">
        <v>0</v>
      </c>
      <c r="C2" s="12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112</v>
      </c>
      <c r="Q2" s="390"/>
      <c r="R2" s="391"/>
      <c r="S2" s="389" t="s">
        <v>109</v>
      </c>
      <c r="T2" s="390"/>
      <c r="U2" s="391"/>
      <c r="V2" s="389" t="s">
        <v>893</v>
      </c>
      <c r="W2" s="390"/>
      <c r="X2" s="391"/>
      <c r="Y2" s="389" t="s">
        <v>894</v>
      </c>
      <c r="Z2" s="390"/>
      <c r="AA2" s="391"/>
      <c r="AB2" s="389" t="s">
        <v>940</v>
      </c>
      <c r="AC2" s="390"/>
      <c r="AD2" s="391"/>
      <c r="AE2" s="389" t="s">
        <v>941</v>
      </c>
      <c r="AF2" s="390"/>
      <c r="AG2" s="391"/>
      <c r="AH2" s="394" t="s">
        <v>28</v>
      </c>
      <c r="AI2" s="387" t="s">
        <v>10</v>
      </c>
      <c r="AJ2" s="387" t="s">
        <v>18</v>
      </c>
      <c r="AK2" s="387" t="s">
        <v>14</v>
      </c>
      <c r="AL2" s="401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</row>
    <row r="3" spans="1:63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395"/>
      <c r="AI3" s="388"/>
      <c r="AJ3" s="388"/>
      <c r="AK3" s="388"/>
      <c r="AL3" s="402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</row>
    <row r="4" spans="1:63" ht="50.45" customHeight="1" x14ac:dyDescent="0.25">
      <c r="A4" s="167">
        <f>ROW()-3</f>
        <v>1</v>
      </c>
      <c r="B4" s="138" t="s">
        <v>830</v>
      </c>
      <c r="C4" s="134" t="s">
        <v>831</v>
      </c>
      <c r="D4" s="13"/>
      <c r="E4" s="134">
        <v>900</v>
      </c>
      <c r="F4" s="134"/>
      <c r="G4" s="134" t="s">
        <v>411</v>
      </c>
      <c r="H4" s="134" t="s">
        <v>30</v>
      </c>
      <c r="I4" s="134">
        <v>900</v>
      </c>
      <c r="J4" s="2"/>
      <c r="K4" s="31"/>
      <c r="L4" s="31"/>
      <c r="M4" s="2"/>
      <c r="N4" s="31"/>
      <c r="O4" s="31"/>
      <c r="P4" s="2" t="s">
        <v>31</v>
      </c>
      <c r="Q4" s="2"/>
      <c r="R4" s="2"/>
      <c r="S4" s="40"/>
      <c r="T4" s="40"/>
      <c r="U4" s="40"/>
      <c r="V4" s="2" t="s">
        <v>31</v>
      </c>
      <c r="W4" s="2"/>
      <c r="X4" s="2"/>
      <c r="Y4" s="2" t="s">
        <v>31</v>
      </c>
      <c r="Z4" s="2"/>
      <c r="AA4" s="2"/>
      <c r="AB4" s="2"/>
      <c r="AC4" s="2"/>
      <c r="AD4" s="2"/>
      <c r="AE4" s="2" t="s">
        <v>31</v>
      </c>
      <c r="AF4" s="2"/>
      <c r="AG4" s="2"/>
      <c r="AH4" s="135">
        <f>COUNTA(J4:AG4)</f>
        <v>4</v>
      </c>
      <c r="AI4" s="28" t="s">
        <v>895</v>
      </c>
      <c r="AJ4" s="28"/>
      <c r="AK4" s="20" t="s">
        <v>942</v>
      </c>
      <c r="AL4" s="27" t="str">
        <f t="shared" ref="AL4:AL5" si="0">IF(AH4&lt;=0,"0",IF(AH4=1,"1",IF(AH4=2,"2",IF(AH4=3,"3",IF(AH4&gt;=4,"4")))))</f>
        <v>4</v>
      </c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</row>
    <row r="5" spans="1:63" ht="50.45" customHeight="1" x14ac:dyDescent="0.25">
      <c r="A5" s="167">
        <f>ROW()-3</f>
        <v>2</v>
      </c>
      <c r="B5" s="138" t="s">
        <v>408</v>
      </c>
      <c r="C5" s="134" t="s">
        <v>409</v>
      </c>
      <c r="D5" s="134">
        <v>9600098987</v>
      </c>
      <c r="E5" s="134" t="s">
        <v>410</v>
      </c>
      <c r="F5" s="134"/>
      <c r="G5" s="134" t="s">
        <v>411</v>
      </c>
      <c r="H5" s="134" t="s">
        <v>30</v>
      </c>
      <c r="I5" s="134">
        <v>750</v>
      </c>
      <c r="J5" s="2"/>
      <c r="K5" s="31"/>
      <c r="L5" s="31"/>
      <c r="M5" s="2"/>
      <c r="N5" s="31"/>
      <c r="O5" s="31"/>
      <c r="P5" s="2" t="s">
        <v>31</v>
      </c>
      <c r="Q5" s="2"/>
      <c r="R5" s="2"/>
      <c r="S5" s="40"/>
      <c r="T5" s="40"/>
      <c r="U5" s="40"/>
      <c r="V5" s="2"/>
      <c r="W5" s="2"/>
      <c r="X5" s="2"/>
      <c r="Y5" s="2" t="s">
        <v>31</v>
      </c>
      <c r="Z5" s="2"/>
      <c r="AA5" s="2"/>
      <c r="AB5" s="2"/>
      <c r="AC5" s="2"/>
      <c r="AD5" s="2"/>
      <c r="AE5" s="2" t="s">
        <v>31</v>
      </c>
      <c r="AF5" s="2"/>
      <c r="AG5" s="2"/>
      <c r="AH5" s="135">
        <f t="shared" ref="AH5" si="1">COUNTA(J5:AG5)</f>
        <v>3</v>
      </c>
      <c r="AI5" s="28" t="s">
        <v>829</v>
      </c>
      <c r="AJ5" s="28"/>
      <c r="AK5" s="20" t="s">
        <v>943</v>
      </c>
      <c r="AL5" s="27" t="str">
        <f t="shared" si="0"/>
        <v>3</v>
      </c>
    </row>
    <row r="6" spans="1:63" ht="15.75" x14ac:dyDescent="0.25">
      <c r="AH6" s="135"/>
    </row>
  </sheetData>
  <mergeCells count="22">
    <mergeCell ref="AL2:AL3"/>
    <mergeCell ref="AH2:AH3"/>
    <mergeCell ref="Y2:AA2"/>
    <mergeCell ref="V2:X2"/>
    <mergeCell ref="A1:AL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AI2:AI3"/>
    <mergeCell ref="AJ2:AJ3"/>
    <mergeCell ref="AK2:AK3"/>
    <mergeCell ref="AB2:AD2"/>
    <mergeCell ref="AE2:A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IJ31"/>
  <sheetViews>
    <sheetView zoomScale="40" zoomScaleNormal="40" workbookViewId="0">
      <pane xSplit="3" ySplit="6" topLeftCell="D19" activePane="bottomRight" state="frozen"/>
      <selection activeCell="BT13" sqref="BT13"/>
      <selection pane="topRight" activeCell="BT13" sqref="BT13"/>
      <selection pane="bottomLeft" activeCell="BT13" sqref="BT13"/>
      <selection pane="bottomRight" activeCell="BT13" sqref="BT13"/>
    </sheetView>
  </sheetViews>
  <sheetFormatPr defaultColWidth="9.140625" defaultRowHeight="12.75" x14ac:dyDescent="0.2"/>
  <cols>
    <col min="1" max="1" width="3.42578125" style="7" customWidth="1"/>
    <col min="2" max="2" width="12.28515625" style="7" customWidth="1"/>
    <col min="3" max="3" width="54.5703125" style="7" customWidth="1"/>
    <col min="4" max="4" width="28.7109375" style="7" customWidth="1"/>
    <col min="5" max="5" width="21.28515625" style="7" customWidth="1"/>
    <col min="6" max="6" width="20.28515625" style="7" customWidth="1"/>
    <col min="7" max="7" width="16.42578125" style="7" customWidth="1"/>
    <col min="8" max="8" width="20.28515625" style="7" customWidth="1"/>
    <col min="9" max="20" width="10.42578125" style="7" customWidth="1"/>
    <col min="21" max="22" width="10.42578125" style="375" customWidth="1"/>
    <col min="23" max="27" width="21.5703125" style="7" customWidth="1"/>
    <col min="28" max="28" width="9.140625" style="7"/>
    <col min="29" max="29" width="11.28515625" style="7" bestFit="1" customWidth="1"/>
    <col min="30" max="30" width="15" style="7" customWidth="1"/>
    <col min="31" max="16384" width="9.140625" style="7"/>
  </cols>
  <sheetData>
    <row r="1" spans="2:244" ht="32.25" thickBot="1" x14ac:dyDescent="0.25">
      <c r="B1" s="456" t="s">
        <v>39</v>
      </c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  <c r="AA1" s="456"/>
    </row>
    <row r="2" spans="2:244" ht="51.6" customHeight="1" thickBot="1" x14ac:dyDescent="0.25">
      <c r="B2" s="446" t="s">
        <v>27</v>
      </c>
      <c r="C2" s="466"/>
      <c r="D2" s="216" t="s">
        <v>26</v>
      </c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374"/>
      <c r="V2" s="374"/>
      <c r="X2" s="219">
        <v>45880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</row>
    <row r="3" spans="2:244" ht="59.45" customHeight="1" thickBot="1" x14ac:dyDescent="0.25">
      <c r="B3" s="442" t="s">
        <v>797</v>
      </c>
      <c r="C3" s="443"/>
      <c r="D3" s="217">
        <v>45878</v>
      </c>
      <c r="F3" s="446" t="s">
        <v>744</v>
      </c>
      <c r="G3" s="447"/>
      <c r="W3" s="55"/>
    </row>
    <row r="4" spans="2:244" ht="20.100000000000001" customHeight="1" thickBot="1" x14ac:dyDescent="0.25">
      <c r="C4" s="8"/>
      <c r="D4" s="8"/>
      <c r="E4" s="8"/>
    </row>
    <row r="5" spans="2:244" ht="48" customHeight="1" thickBot="1" x14ac:dyDescent="0.25">
      <c r="B5" s="457" t="s">
        <v>25</v>
      </c>
      <c r="C5" s="459" t="s">
        <v>24</v>
      </c>
      <c r="D5" s="463" t="s">
        <v>3</v>
      </c>
      <c r="E5" s="461" t="s">
        <v>216</v>
      </c>
      <c r="F5" s="457" t="s">
        <v>23</v>
      </c>
      <c r="G5" s="457" t="s">
        <v>22</v>
      </c>
      <c r="H5" s="453" t="s">
        <v>1093</v>
      </c>
      <c r="I5" s="450" t="s">
        <v>55</v>
      </c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2"/>
      <c r="U5" s="376"/>
      <c r="V5" s="376"/>
      <c r="W5" s="457" t="s">
        <v>174</v>
      </c>
      <c r="X5" s="444" t="s">
        <v>175</v>
      </c>
      <c r="Y5" s="457" t="s">
        <v>176</v>
      </c>
      <c r="Z5" s="457" t="s">
        <v>177</v>
      </c>
      <c r="AA5" s="444" t="s">
        <v>21</v>
      </c>
    </row>
    <row r="6" spans="2:244" ht="47.45" customHeight="1" thickBot="1" x14ac:dyDescent="0.25">
      <c r="B6" s="458"/>
      <c r="C6" s="460"/>
      <c r="D6" s="464"/>
      <c r="E6" s="462"/>
      <c r="F6" s="460"/>
      <c r="G6" s="465"/>
      <c r="H6" s="454"/>
      <c r="I6" s="315" t="s">
        <v>4</v>
      </c>
      <c r="J6" s="316" t="s">
        <v>5</v>
      </c>
      <c r="K6" s="316" t="s">
        <v>6</v>
      </c>
      <c r="L6" s="316" t="s">
        <v>7</v>
      </c>
      <c r="M6" s="316" t="s">
        <v>8</v>
      </c>
      <c r="N6" s="316" t="s">
        <v>9</v>
      </c>
      <c r="O6" s="316" t="s">
        <v>49</v>
      </c>
      <c r="P6" s="316" t="s">
        <v>50</v>
      </c>
      <c r="Q6" s="316" t="s">
        <v>51</v>
      </c>
      <c r="R6" s="316" t="s">
        <v>965</v>
      </c>
      <c r="S6" s="317" t="s">
        <v>1019</v>
      </c>
      <c r="T6" s="317" t="s">
        <v>1092</v>
      </c>
      <c r="U6" s="377"/>
      <c r="V6" s="377"/>
      <c r="W6" s="458"/>
      <c r="X6" s="445"/>
      <c r="Y6" s="458"/>
      <c r="Z6" s="458"/>
      <c r="AA6" s="445"/>
    </row>
    <row r="7" spans="2:244" s="12" customFormat="1" ht="36.6" customHeight="1" x14ac:dyDescent="0.2">
      <c r="B7" s="449">
        <v>1</v>
      </c>
      <c r="C7" s="448" t="s">
        <v>614</v>
      </c>
      <c r="D7" s="318" t="s">
        <v>15</v>
      </c>
      <c r="E7" s="319">
        <f>COUNTA(ARIYALUR!A4:A7)</f>
        <v>4</v>
      </c>
      <c r="F7" s="80">
        <f>SUM(W7:Z7)</f>
        <v>4</v>
      </c>
      <c r="G7" s="80">
        <f>COUNTA(ARIYALUR!BS4:BS7)</f>
        <v>4</v>
      </c>
      <c r="H7" s="371"/>
      <c r="I7" s="382"/>
      <c r="J7" s="80"/>
      <c r="K7" s="80"/>
      <c r="L7" s="80">
        <f>COUNTA(ARIYALUR!P4:U7)</f>
        <v>1</v>
      </c>
      <c r="M7" s="80">
        <f>COUNTA(ARIYALUR!V4:AA7)</f>
        <v>6</v>
      </c>
      <c r="N7" s="80"/>
      <c r="O7" s="80"/>
      <c r="P7" s="80"/>
      <c r="Q7" s="80"/>
      <c r="R7" s="80"/>
      <c r="S7" s="80"/>
      <c r="T7" s="120"/>
      <c r="U7" s="302"/>
      <c r="V7" s="302"/>
      <c r="W7" s="81">
        <f>COUNTIF(ARIYALUR!$BV$4:$BV$7,1)</f>
        <v>1</v>
      </c>
      <c r="X7" s="190">
        <f>COUNTIF(ARIYALUR!$BV$4:$BV$7,2)</f>
        <v>3</v>
      </c>
      <c r="Y7" s="190">
        <f>COUNTIF(ARIYALUR!$BV$4:$BV$7,3)</f>
        <v>0</v>
      </c>
      <c r="Z7" s="190">
        <f>COUNTIF(ARIYALUR!$BV$4:$BV$7,4)</f>
        <v>0</v>
      </c>
      <c r="AA7" s="191">
        <f>COUNTIF(ARIYALUR!$BV$4:$BV$7,0)</f>
        <v>0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2:244" s="12" customFormat="1" ht="36.6" customHeight="1" x14ac:dyDescent="0.2">
      <c r="B8" s="441"/>
      <c r="C8" s="440"/>
      <c r="D8" s="122" t="s">
        <v>30</v>
      </c>
      <c r="E8" s="123">
        <f>COUNTA(ARIYALUR!A9)</f>
        <v>1</v>
      </c>
      <c r="F8" s="11">
        <f>SUM(W8:Z8)</f>
        <v>1</v>
      </c>
      <c r="G8" s="11">
        <f>COUNTA(ARIYALUR!BS9)</f>
        <v>0</v>
      </c>
      <c r="H8" s="225"/>
      <c r="I8" s="226"/>
      <c r="J8" s="11"/>
      <c r="K8" s="11"/>
      <c r="L8" s="11">
        <f>COUNTA(ARIYALUR!P9:U9)</f>
        <v>1</v>
      </c>
      <c r="M8" s="11"/>
      <c r="N8" s="11"/>
      <c r="O8" s="11"/>
      <c r="P8" s="11"/>
      <c r="Q8" s="11"/>
      <c r="R8" s="11"/>
      <c r="S8" s="11"/>
      <c r="T8" s="104"/>
      <c r="U8" s="302"/>
      <c r="V8" s="302"/>
      <c r="W8" s="82">
        <f>COUNTIF(ARIYALUR!$BV$9,1)</f>
        <v>1</v>
      </c>
      <c r="X8" s="189">
        <f>COUNTIF(ARIYALUR!$BV$9,2)</f>
        <v>0</v>
      </c>
      <c r="Y8" s="189">
        <f>COUNTIF(ARIYALUR!$BV$9,3)</f>
        <v>0</v>
      </c>
      <c r="Z8" s="189">
        <f>COUNTIF(ARIYALUR!$BV$9,4)</f>
        <v>0</v>
      </c>
      <c r="AA8" s="192">
        <f>COUNTIF(ARIYALUR!$BV$9,0)</f>
        <v>0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2:244" s="12" customFormat="1" ht="36.6" customHeight="1" x14ac:dyDescent="0.2">
      <c r="B9" s="441">
        <v>2</v>
      </c>
      <c r="C9" s="440" t="s">
        <v>207</v>
      </c>
      <c r="D9" s="122" t="s">
        <v>15</v>
      </c>
      <c r="E9" s="123">
        <f>COUNTA(DINDIGUL!A4:A6)</f>
        <v>3</v>
      </c>
      <c r="F9" s="11">
        <f t="shared" ref="F9:F24" si="0">SUM(W9:Z9)</f>
        <v>3</v>
      </c>
      <c r="G9" s="11">
        <f>COUNTA(DINDIGUL!CE4:CE6)</f>
        <v>3</v>
      </c>
      <c r="H9" s="225"/>
      <c r="I9" s="226"/>
      <c r="J9" s="11">
        <f>COUNTA(DINDIGUL!P4:U6)</f>
        <v>4</v>
      </c>
      <c r="K9" s="11">
        <f>COUNTA(DINDIGUL!V4:AA6)</f>
        <v>5</v>
      </c>
      <c r="L9" s="11"/>
      <c r="M9" s="11">
        <f>COUNTA(DINDIGUL!AH4:AM6)</f>
        <v>6</v>
      </c>
      <c r="N9" s="11">
        <f>COUNTA(DINDIGUL!AN4:AS6)</f>
        <v>3</v>
      </c>
      <c r="O9" s="11"/>
      <c r="P9" s="11"/>
      <c r="Q9" s="11"/>
      <c r="R9" s="11"/>
      <c r="S9" s="11"/>
      <c r="T9" s="104"/>
      <c r="U9" s="302"/>
      <c r="V9" s="302"/>
      <c r="W9" s="82">
        <f>COUNTIF(DINDIGUL!$CH$4:$CH$6,1)</f>
        <v>0</v>
      </c>
      <c r="X9" s="189">
        <f>COUNTIF(DINDIGUL!$CH$4:$CH$6,2)</f>
        <v>0</v>
      </c>
      <c r="Y9" s="189">
        <f>COUNTIF(DINDIGUL!$CH$4:$CH$6,3)</f>
        <v>0</v>
      </c>
      <c r="Z9" s="189">
        <f>COUNTIF(DINDIGUL!$CH$4:$CH$6,4)</f>
        <v>3</v>
      </c>
      <c r="AA9" s="192">
        <f>COUNTIF(DINDIGUL!$CH$4:$CH$6,0)</f>
        <v>0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2:244" s="12" customFormat="1" ht="36.6" customHeight="1" x14ac:dyDescent="0.2">
      <c r="B10" s="441"/>
      <c r="C10" s="440"/>
      <c r="D10" s="122" t="s">
        <v>30</v>
      </c>
      <c r="E10" s="123">
        <f>COUNTA(DINDIGUL!A8)</f>
        <v>1</v>
      </c>
      <c r="F10" s="11">
        <f t="shared" si="0"/>
        <v>1</v>
      </c>
      <c r="G10" s="11">
        <f>COUNTA(DINDIGUL!CE8)</f>
        <v>0</v>
      </c>
      <c r="H10" s="225"/>
      <c r="I10" s="226"/>
      <c r="J10" s="11">
        <f>COUNTA(DINDIGUL!P8:U8)</f>
        <v>2</v>
      </c>
      <c r="K10" s="11">
        <f>COUNTA(DINDIGUL!V8:AA8)</f>
        <v>1</v>
      </c>
      <c r="L10" s="11"/>
      <c r="M10" s="11">
        <f>COUNTA(DINDIGUL!AH8:AM8)</f>
        <v>1</v>
      </c>
      <c r="N10" s="11"/>
      <c r="O10" s="11"/>
      <c r="P10" s="11"/>
      <c r="Q10" s="11"/>
      <c r="R10" s="11"/>
      <c r="S10" s="11"/>
      <c r="T10" s="104"/>
      <c r="U10" s="302"/>
      <c r="V10" s="302"/>
      <c r="W10" s="82">
        <f>COUNTIF(DINDIGUL!$CH$8,1)</f>
        <v>0</v>
      </c>
      <c r="X10" s="189">
        <f>COUNTIF(DINDIGUL!$CH$8,2)</f>
        <v>0</v>
      </c>
      <c r="Y10" s="189">
        <f>COUNTIF(DINDIGUL!$CH$8,3)</f>
        <v>0</v>
      </c>
      <c r="Z10" s="189">
        <f>COUNTIF(DINDIGUL!$CH$8,4)</f>
        <v>1</v>
      </c>
      <c r="AA10" s="192">
        <f>COUNTIF(DINDIGUL!$CH$8,0)</f>
        <v>0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2:244" s="12" customFormat="1" ht="36.6" customHeight="1" x14ac:dyDescent="0.2">
      <c r="B11" s="441">
        <v>3</v>
      </c>
      <c r="C11" s="440" t="s">
        <v>152</v>
      </c>
      <c r="D11" s="122" t="s">
        <v>15</v>
      </c>
      <c r="E11" s="123">
        <f>COUNTA(KARUR!A4:A10)</f>
        <v>7</v>
      </c>
      <c r="F11" s="11">
        <f t="shared" si="0"/>
        <v>7</v>
      </c>
      <c r="G11" s="11">
        <f>COUNTA(KARUR!CE4:CE10)</f>
        <v>6</v>
      </c>
      <c r="H11" s="225">
        <v>1</v>
      </c>
      <c r="I11" s="226">
        <f>COUNTA(KARUR!J4:O10)</f>
        <v>3</v>
      </c>
      <c r="J11" s="11">
        <f>COUNTA(KARUR!P4:U10)</f>
        <v>7</v>
      </c>
      <c r="K11" s="11">
        <f>COUNTA(KARUR!V4:AA10)</f>
        <v>7</v>
      </c>
      <c r="L11" s="11">
        <f>COUNTA(KARUR!AB4:AG10)</f>
        <v>12</v>
      </c>
      <c r="M11" s="11">
        <f>COUNTA(KARUR!AH4:AM10)</f>
        <v>6</v>
      </c>
      <c r="N11" s="11">
        <f>COUNTA(KARUR!AN4:AS10)</f>
        <v>5</v>
      </c>
      <c r="O11" s="11">
        <f>COUNTA(KARUR!AT4:AY10)</f>
        <v>8</v>
      </c>
      <c r="P11" s="11">
        <f>COUNTA(KARUR!AZ4:BE10)</f>
        <v>7</v>
      </c>
      <c r="Q11" s="11">
        <f>COUNTA(KARUR!BF4:BK10)</f>
        <v>5</v>
      </c>
      <c r="R11" s="11">
        <f>COUNTA(KARUR!BL4:BQ10)</f>
        <v>5</v>
      </c>
      <c r="S11" s="11">
        <f>COUNTA(KARUR!BR4:BW10)</f>
        <v>11</v>
      </c>
      <c r="T11" s="104">
        <f>COUNTA(KARUR!BX4:CC10)</f>
        <v>2</v>
      </c>
      <c r="U11" s="302"/>
      <c r="V11" s="302"/>
      <c r="W11" s="82">
        <f>COUNTIF(KARUR!$CH$4:$CH$10,1)</f>
        <v>0</v>
      </c>
      <c r="X11" s="189">
        <f>COUNTIF(KARUR!$CH$4:$CH$10,2)</f>
        <v>0</v>
      </c>
      <c r="Y11" s="189">
        <f>COUNTIF(KARUR!$CH$4:$CH$10,3)</f>
        <v>0</v>
      </c>
      <c r="Z11" s="189">
        <f>COUNTIF(KARUR!$CH$4:$CH$10,4)</f>
        <v>7</v>
      </c>
      <c r="AA11" s="192">
        <f>COUNTIF(KARUR!$CH$4:$CH$10,0)</f>
        <v>0</v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2:244" s="12" customFormat="1" ht="36.6" customHeight="1" x14ac:dyDescent="0.2">
      <c r="B12" s="441"/>
      <c r="C12" s="440"/>
      <c r="D12" s="122" t="s">
        <v>30</v>
      </c>
      <c r="E12" s="123">
        <f>COUNTA(KARUR!A12:A17)</f>
        <v>6</v>
      </c>
      <c r="F12" s="11">
        <f t="shared" si="0"/>
        <v>6</v>
      </c>
      <c r="G12" s="11">
        <f>COUNTA(KARUR!CE12:CE17)</f>
        <v>4</v>
      </c>
      <c r="H12" s="225">
        <v>1</v>
      </c>
      <c r="I12" s="226">
        <f>COUNTA(KARUR!J12:O17)</f>
        <v>0</v>
      </c>
      <c r="J12" s="11">
        <f>COUNTA(KARUR!P12:U17)</f>
        <v>3</v>
      </c>
      <c r="K12" s="11">
        <f>COUNTA(KARUR!V12:AA17)</f>
        <v>7</v>
      </c>
      <c r="L12" s="11">
        <f>COUNTA(KARUR!AB12:AG17)</f>
        <v>2</v>
      </c>
      <c r="M12" s="11">
        <f>COUNTA(KARUR!AH12:AM17)</f>
        <v>3</v>
      </c>
      <c r="N12" s="11">
        <f>COUNTA(KARUR!AN12:AS17)</f>
        <v>6</v>
      </c>
      <c r="O12" s="11">
        <f>COUNTA(KARUR!AT12:AY17)</f>
        <v>4</v>
      </c>
      <c r="P12" s="11">
        <f>COUNTA(KARUR!AZ12:BE17)</f>
        <v>3</v>
      </c>
      <c r="Q12" s="11">
        <f>COUNTA(KARUR!BF12:BK17)</f>
        <v>6</v>
      </c>
      <c r="R12" s="11">
        <f>COUNTA(KARUR!BL12:BQ17)</f>
        <v>3</v>
      </c>
      <c r="S12" s="11">
        <f>COUNTA(KARUR!BR12:BW17)</f>
        <v>2</v>
      </c>
      <c r="T12" s="104">
        <f>COUNTA(KARUR!BX12:CC17)</f>
        <v>3</v>
      </c>
      <c r="U12" s="302"/>
      <c r="V12" s="302"/>
      <c r="W12" s="82">
        <f>COUNTIF(KARUR!$CH$12:$CH$17,1)</f>
        <v>0</v>
      </c>
      <c r="X12" s="189">
        <f>COUNTIF(KARUR!$CH$12:$CH$17,2)</f>
        <v>1</v>
      </c>
      <c r="Y12" s="189">
        <f>COUNTIF(KARUR!$CH$12:$CH$17,3)</f>
        <v>0</v>
      </c>
      <c r="Z12" s="189">
        <f>COUNTIF(KARUR!$CH$12:$CH$17,4)</f>
        <v>5</v>
      </c>
      <c r="AA12" s="192">
        <f>COUNTIF(KARUR!$CH$12:$CH$17,0)</f>
        <v>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2:244" s="12" customFormat="1" ht="36.6" customHeight="1" x14ac:dyDescent="0.2">
      <c r="B13" s="441">
        <v>4</v>
      </c>
      <c r="C13" s="440" t="s">
        <v>615</v>
      </c>
      <c r="D13" s="122" t="s">
        <v>15</v>
      </c>
      <c r="E13" s="123">
        <f>COUNTA(MAYILADUTHURAI!A4:A5)</f>
        <v>2</v>
      </c>
      <c r="F13" s="11">
        <f t="shared" si="0"/>
        <v>2</v>
      </c>
      <c r="G13" s="11">
        <f>COUNTA(MAYILADUTHURAI!CE4:CE5)</f>
        <v>1</v>
      </c>
      <c r="H13" s="225"/>
      <c r="I13" s="226"/>
      <c r="J13" s="11"/>
      <c r="K13" s="11"/>
      <c r="L13" s="11">
        <f>COUNTA(MAYILADUTHURAI!AB4:AG5)</f>
        <v>2</v>
      </c>
      <c r="M13" s="11"/>
      <c r="N13" s="11"/>
      <c r="O13" s="11">
        <f>COUNTA(MAYILADUTHURAI!AT4:AY5)</f>
        <v>1</v>
      </c>
      <c r="P13" s="11"/>
      <c r="Q13" s="11"/>
      <c r="R13" s="11"/>
      <c r="S13" s="11"/>
      <c r="T13" s="104"/>
      <c r="U13" s="302"/>
      <c r="V13" s="302"/>
      <c r="W13" s="82">
        <f>COUNTIF(MAYILADUTHURAI!$CH$4:$CH$5,1)</f>
        <v>1</v>
      </c>
      <c r="X13" s="189">
        <f>COUNTIF(MAYILADUTHURAI!$CH$4:$CH$5,2)</f>
        <v>1</v>
      </c>
      <c r="Y13" s="189">
        <f>COUNTIF(MAYILADUTHURAI!$CH$4:$CH$5,3)</f>
        <v>0</v>
      </c>
      <c r="Z13" s="189">
        <f>COUNTIF(MAYILADUTHURAI!$CH$4:$CH$5,4)</f>
        <v>0</v>
      </c>
      <c r="AA13" s="192">
        <f>COUNTIF(MAYILADUTHURAI!$CH$4:$CH$5,0)</f>
        <v>0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2:244" s="12" customFormat="1" ht="36.6" customHeight="1" x14ac:dyDescent="0.2">
      <c r="B14" s="441"/>
      <c r="C14" s="440"/>
      <c r="D14" s="122" t="s">
        <v>30</v>
      </c>
      <c r="E14" s="123">
        <f>COUNTA(MAYILADUTHURAI!A7:A9)</f>
        <v>3</v>
      </c>
      <c r="F14" s="11">
        <f t="shared" si="0"/>
        <v>3</v>
      </c>
      <c r="G14" s="11">
        <f>COUNTA(MAYILADUTHURAI!CE7:CE9)</f>
        <v>3</v>
      </c>
      <c r="H14" s="225"/>
      <c r="I14" s="226"/>
      <c r="J14" s="11"/>
      <c r="K14" s="11"/>
      <c r="L14" s="11">
        <f>COUNTA(MAYILADUTHURAI!AB7:AG9)</f>
        <v>3</v>
      </c>
      <c r="M14" s="11"/>
      <c r="N14" s="11"/>
      <c r="O14" s="11">
        <f>COUNTA(MAYILADUTHURAI!AT7:AY9)</f>
        <v>2</v>
      </c>
      <c r="P14" s="11"/>
      <c r="Q14" s="11"/>
      <c r="R14" s="11"/>
      <c r="S14" s="11"/>
      <c r="T14" s="104"/>
      <c r="U14" s="302"/>
      <c r="V14" s="302"/>
      <c r="W14" s="82">
        <f>COUNTIF(MAYILADUTHURAI!$CH$7:$CH$9,1)</f>
        <v>1</v>
      </c>
      <c r="X14" s="189">
        <f>COUNTIF(MAYILADUTHURAI!$CH$7:$CH$9,2)</f>
        <v>2</v>
      </c>
      <c r="Y14" s="189">
        <f>COUNTIF(MAYILADUTHURAI!$CH$7:$CH$9,3)</f>
        <v>0</v>
      </c>
      <c r="Z14" s="189">
        <f>COUNTIF(MAYILADUTHURAI!$CH$7:$CH$9,4)</f>
        <v>0</v>
      </c>
      <c r="AA14" s="192">
        <f>COUNTIF(MAYILADUTHURAI!$CH$7:$CH$9,0)</f>
        <v>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2:244" s="12" customFormat="1" ht="36.6" customHeight="1" x14ac:dyDescent="0.2">
      <c r="B15" s="310">
        <v>5</v>
      </c>
      <c r="C15" s="309" t="s">
        <v>616</v>
      </c>
      <c r="D15" s="122" t="s">
        <v>15</v>
      </c>
      <c r="E15" s="123">
        <f>COUNTA(NAGAPATTINUM!A4:A6)</f>
        <v>3</v>
      </c>
      <c r="F15" s="11">
        <f t="shared" si="0"/>
        <v>3</v>
      </c>
      <c r="G15" s="11">
        <f>COUNTA(NAGAPATTINUM!CE4:CE6)</f>
        <v>3</v>
      </c>
      <c r="H15" s="225"/>
      <c r="I15" s="226"/>
      <c r="J15" s="11"/>
      <c r="K15" s="11"/>
      <c r="L15" s="11"/>
      <c r="M15" s="11"/>
      <c r="N15" s="11">
        <f>COUNTA(NAGAPATTINUM!AN4:AS6)</f>
        <v>3</v>
      </c>
      <c r="O15" s="11"/>
      <c r="P15" s="11">
        <f>COUNTA(NAGAPATTINUM!AZ4:BE6)</f>
        <v>3</v>
      </c>
      <c r="Q15" s="11"/>
      <c r="R15" s="11"/>
      <c r="S15" s="11"/>
      <c r="T15" s="104"/>
      <c r="U15" s="302"/>
      <c r="V15" s="302"/>
      <c r="W15" s="82">
        <f>COUNTIF(NAGAPATTINUM!$CH$4:$CH$6,1)</f>
        <v>0</v>
      </c>
      <c r="X15" s="189">
        <f>COUNTIF(NAGAPATTINUM!$CH$4:$CH$6,2)</f>
        <v>3</v>
      </c>
      <c r="Y15" s="189">
        <f>COUNTIF(NAGAPATTINUM!$CH$4:$CH$6,3)</f>
        <v>0</v>
      </c>
      <c r="Z15" s="189">
        <f>COUNTIF(NAGAPATTINUM!$CH$4:$CH$6,4)</f>
        <v>0</v>
      </c>
      <c r="AA15" s="192">
        <f>COUNTIF(NAGAPATTINUM!$CH$4:$CH$6,0)</f>
        <v>0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2:244" s="12" customFormat="1" ht="36.6" customHeight="1" x14ac:dyDescent="0.2">
      <c r="B16" s="441">
        <v>6</v>
      </c>
      <c r="C16" s="440" t="s">
        <v>617</v>
      </c>
      <c r="D16" s="122" t="s">
        <v>15</v>
      </c>
      <c r="E16" s="123">
        <f>COUNTA(THANJUR!A4:A9)</f>
        <v>6</v>
      </c>
      <c r="F16" s="11">
        <f t="shared" si="0"/>
        <v>6</v>
      </c>
      <c r="G16" s="11">
        <f>COUNTA(THANJUR!CE4:CE9)</f>
        <v>2</v>
      </c>
      <c r="H16" s="225">
        <v>2</v>
      </c>
      <c r="I16" s="226"/>
      <c r="J16" s="11">
        <f>COUNTA(THANJUR!P4:U9)</f>
        <v>5</v>
      </c>
      <c r="K16" s="11">
        <f>COUNTA(THANJUR!V4:AA9)</f>
        <v>4</v>
      </c>
      <c r="L16" s="11"/>
      <c r="M16" s="11"/>
      <c r="N16" s="11">
        <f>COUNTA(THANJUR!AN4:AS9)</f>
        <v>4</v>
      </c>
      <c r="O16" s="11">
        <f>COUNTA(THANJUR!AT4:AY9)</f>
        <v>3</v>
      </c>
      <c r="P16" s="11">
        <f>COUNTA(THANJUR!AZ4:BE9)</f>
        <v>1</v>
      </c>
      <c r="Q16" s="11"/>
      <c r="R16" s="11"/>
      <c r="S16" s="11">
        <f>COUNTA(THANJUR!BR4:BW9)</f>
        <v>4</v>
      </c>
      <c r="T16" s="104"/>
      <c r="U16" s="302"/>
      <c r="V16" s="302"/>
      <c r="W16" s="82">
        <f>COUNTIF(THANJUR!$CH$4:$CH$9,1)</f>
        <v>1</v>
      </c>
      <c r="X16" s="189">
        <f>COUNTIF(THANJUR!$CH$4:$CH$9,2)</f>
        <v>1</v>
      </c>
      <c r="Y16" s="189">
        <f>COUNTIF(THANJUR!$CH$4:$CH$9,3)</f>
        <v>1</v>
      </c>
      <c r="Z16" s="189">
        <f>COUNTIF(THANJUR!$CH$4:$CH$9,4)</f>
        <v>3</v>
      </c>
      <c r="AA16" s="192">
        <f>COUNTIF(THANJUR!$CH$4:$CH$9,0)</f>
        <v>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2:38" s="12" customFormat="1" ht="36.6" customHeight="1" x14ac:dyDescent="0.2">
      <c r="B17" s="441"/>
      <c r="C17" s="440"/>
      <c r="D17" s="122" t="s">
        <v>30</v>
      </c>
      <c r="E17" s="123">
        <f>COUNTA(THANJUR!A11:A19)</f>
        <v>9</v>
      </c>
      <c r="F17" s="11">
        <f t="shared" si="0"/>
        <v>9</v>
      </c>
      <c r="G17" s="11">
        <f>COUNTA(THANJUR!CE11:CE19)</f>
        <v>7</v>
      </c>
      <c r="H17" s="225"/>
      <c r="I17" s="226"/>
      <c r="J17" s="11">
        <f>COUNTA(THANJUR!P11:U19)</f>
        <v>4</v>
      </c>
      <c r="K17" s="11">
        <f>COUNTA(THANJUR!V11:AA19)</f>
        <v>6</v>
      </c>
      <c r="L17" s="11"/>
      <c r="M17" s="11"/>
      <c r="N17" s="11">
        <f>COUNTA(THANJUR!AN11:AS19)</f>
        <v>4</v>
      </c>
      <c r="O17" s="11">
        <f>COUNTA(THANJUR!AT11:AY19)</f>
        <v>9</v>
      </c>
      <c r="P17" s="11">
        <f>COUNTA(THANJUR!AZ11:BE19)</f>
        <v>5</v>
      </c>
      <c r="Q17" s="11"/>
      <c r="R17" s="11"/>
      <c r="S17" s="11">
        <f>COUNTA(THANJUR!BR11:BW19)</f>
        <v>4</v>
      </c>
      <c r="T17" s="104"/>
      <c r="U17" s="302"/>
      <c r="V17" s="302"/>
      <c r="W17" s="82">
        <f>COUNTIF(THANJUR!$CH$11:$CH$19,1)</f>
        <v>1</v>
      </c>
      <c r="X17" s="189">
        <f>COUNTIF(THANJUR!$CH$11:$CH$19,2)</f>
        <v>3</v>
      </c>
      <c r="Y17" s="189">
        <f>COUNTIF(THANJUR!$CH$11:$CH$19,3)</f>
        <v>1</v>
      </c>
      <c r="Z17" s="189">
        <f>COUNTIF(THANJUR!$CH$11:$CH$19,4)</f>
        <v>4</v>
      </c>
      <c r="AA17" s="192">
        <f>COUNTIF(THANJUR!$CH$11:$CH$19,0)</f>
        <v>0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2:38" s="12" customFormat="1" ht="36.6" customHeight="1" x14ac:dyDescent="0.2">
      <c r="B18" s="441">
        <v>7</v>
      </c>
      <c r="C18" s="455" t="s">
        <v>618</v>
      </c>
      <c r="D18" s="122" t="s">
        <v>15</v>
      </c>
      <c r="E18" s="123">
        <f>COUNTA(TIRUCHIRAPPALLI!A4:A25)</f>
        <v>22</v>
      </c>
      <c r="F18" s="11">
        <f t="shared" si="0"/>
        <v>22</v>
      </c>
      <c r="G18" s="11">
        <f>COUNTA(TIRUCHIRAPPALLI!CE4:CE25)</f>
        <v>22</v>
      </c>
      <c r="H18" s="225">
        <v>5</v>
      </c>
      <c r="I18" s="226">
        <f>COUNTA(TIRUCHIRAPPALLI!J4:O25)</f>
        <v>14</v>
      </c>
      <c r="J18" s="11">
        <f>COUNTA(TIRUCHIRAPPALLI!P4:U25)</f>
        <v>26</v>
      </c>
      <c r="K18" s="11">
        <f>COUNTA(TIRUCHIRAPPALLI!V4:AA25)</f>
        <v>27</v>
      </c>
      <c r="L18" s="11">
        <f>COUNTA(TIRUCHIRAPPALLI!AB4:AG25)</f>
        <v>48</v>
      </c>
      <c r="M18" s="11">
        <f>COUNTA(TIRUCHIRAPPALLI!AH4:AM25)</f>
        <v>24</v>
      </c>
      <c r="N18" s="11">
        <f>COUNTA(TIRUCHIRAPPALLI!AN4:AS25)</f>
        <v>14</v>
      </c>
      <c r="O18" s="11">
        <f>COUNTA(TIRUCHIRAPPALLI!AT4:AY25)</f>
        <v>9</v>
      </c>
      <c r="P18" s="11">
        <f>COUNTA(TIRUCHIRAPPALLI!AZ4:BE25)</f>
        <v>17</v>
      </c>
      <c r="Q18" s="11">
        <f>COUNTA(TIRUCHIRAPPALLI!BF4:BK25)</f>
        <v>37</v>
      </c>
      <c r="R18" s="11">
        <f>COUNTA(TIRUCHIRAPPALLI!BL4:BQ25)</f>
        <v>34</v>
      </c>
      <c r="S18" s="11">
        <f>COUNTA(TIRUCHIRAPPALLI!BR4:BW25)</f>
        <v>31</v>
      </c>
      <c r="T18" s="104">
        <f>COUNTA(TIRUCHIRAPPALLI!BX4:CC25)</f>
        <v>8</v>
      </c>
      <c r="U18" s="302"/>
      <c r="V18" s="302"/>
      <c r="W18" s="82">
        <f>COUNTIF(TIRUCHIRAPPALLI!$CH$4:$CH$25,1)</f>
        <v>0</v>
      </c>
      <c r="X18" s="189">
        <f>COUNTIF(TIRUCHIRAPPALLI!$CH$4:$CH$25,2)</f>
        <v>0</v>
      </c>
      <c r="Y18" s="189">
        <f>COUNTIF(TIRUCHIRAPPALLI!$CH$4:$CH$25,3)</f>
        <v>0</v>
      </c>
      <c r="Z18" s="189">
        <f>COUNTIF(TIRUCHIRAPPALLI!$CH$4:$CH$25,4)</f>
        <v>22</v>
      </c>
      <c r="AA18" s="192">
        <f>COUNTIF(TIRUCHIRAPPALLI!$CH$4:$CH$25,0)</f>
        <v>0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2:38" s="12" customFormat="1" ht="36.6" customHeight="1" x14ac:dyDescent="0.2">
      <c r="B19" s="441"/>
      <c r="C19" s="455"/>
      <c r="D19" s="122" t="s">
        <v>30</v>
      </c>
      <c r="E19" s="123">
        <f>COUNTA(TIRUCHIRAPPALLI!A27:A55)</f>
        <v>29</v>
      </c>
      <c r="F19" s="11">
        <f t="shared" si="0"/>
        <v>29</v>
      </c>
      <c r="G19" s="11">
        <f>COUNTA(TIRUCHIRAPPALLI!CE27:CE55)</f>
        <v>25</v>
      </c>
      <c r="H19" s="225">
        <v>4</v>
      </c>
      <c r="I19" s="226">
        <f>COUNTA(TIRUCHIRAPPALLI!J27:O55)</f>
        <v>12</v>
      </c>
      <c r="J19" s="11">
        <f>COUNTA(TIRUCHIRAPPALLI!P27:U55)</f>
        <v>22</v>
      </c>
      <c r="K19" s="11">
        <f>COUNTA(TIRUCHIRAPPALLI!V27:AA55)</f>
        <v>12</v>
      </c>
      <c r="L19" s="11">
        <f>COUNTA(TIRUCHIRAPPALLI!AB27:AG55)</f>
        <v>10</v>
      </c>
      <c r="M19" s="11">
        <f>COUNTA(TIRUCHIRAPPALLI!AH27:AM55)</f>
        <v>33</v>
      </c>
      <c r="N19" s="11">
        <f>COUNTA(TIRUCHIRAPPALLI!AN27:AS55)</f>
        <v>42</v>
      </c>
      <c r="O19" s="11">
        <f>COUNTA(TIRUCHIRAPPALLI!AT27:AY55)</f>
        <v>46</v>
      </c>
      <c r="P19" s="11">
        <f>COUNTA(TIRUCHIRAPPALLI!AZ27:BE55)</f>
        <v>43</v>
      </c>
      <c r="Q19" s="11">
        <f>COUNTA(TIRUCHIRAPPALLI!BF27:BK55)</f>
        <v>17</v>
      </c>
      <c r="R19" s="11">
        <f>COUNTA(TIRUCHIRAPPALLI!BL27:BQ55)</f>
        <v>17</v>
      </c>
      <c r="S19" s="11">
        <f>COUNTA(TIRUCHIRAPPALLI!BR27:BW55)</f>
        <v>31</v>
      </c>
      <c r="T19" s="104">
        <f>COUNTA(TIRUCHIRAPPALLI!BX27:CC55)</f>
        <v>11</v>
      </c>
      <c r="U19" s="302"/>
      <c r="V19" s="302"/>
      <c r="W19" s="82">
        <f>COUNTIF(TIRUCHIRAPPALLI!$CH$27:$CH$55,1)</f>
        <v>1</v>
      </c>
      <c r="X19" s="189">
        <f>COUNTIF(TIRUCHIRAPPALLI!$CH$27:$CH$55,2)</f>
        <v>2</v>
      </c>
      <c r="Y19" s="189">
        <f>COUNTIF(TIRUCHIRAPPALLI!$CH$27:$CH$55,3)</f>
        <v>0</v>
      </c>
      <c r="Z19" s="189">
        <f>COUNTIF(TIRUCHIRAPPALLI!$CH$27:$CH$55,4)</f>
        <v>26</v>
      </c>
      <c r="AA19" s="192">
        <f>COUNTIF(TIRUCHIRAPPALLI!$CH$27:$CH$55,0)</f>
        <v>0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2:38" s="12" customFormat="1" ht="36.6" customHeight="1" x14ac:dyDescent="0.2">
      <c r="B20" s="441"/>
      <c r="C20" s="455"/>
      <c r="D20" s="122" t="s">
        <v>223</v>
      </c>
      <c r="E20" s="123">
        <f>COUNTA(TIRUCHIRAPPALLI!A57:A58)</f>
        <v>2</v>
      </c>
      <c r="F20" s="11">
        <f t="shared" si="0"/>
        <v>2</v>
      </c>
      <c r="G20" s="11">
        <f>COUNTA(TIRUCHIRAPPALLI!CE57:CE58)</f>
        <v>2</v>
      </c>
      <c r="H20" s="225">
        <v>1</v>
      </c>
      <c r="I20" s="226">
        <f>COUNTA(TIRUCHIRAPPALLI!J57:O58)</f>
        <v>1</v>
      </c>
      <c r="J20" s="11">
        <f>COUNTA(TIRUCHIRAPPALLI!P57:U58)</f>
        <v>3</v>
      </c>
      <c r="K20" s="11">
        <f>COUNTA(TIRUCHIRAPPALLI!V57:AA58)</f>
        <v>7</v>
      </c>
      <c r="L20" s="11">
        <f>COUNTA(TIRUCHIRAPPALLI!AB57:AG58)</f>
        <v>3</v>
      </c>
      <c r="M20" s="11">
        <f>COUNTA(TIRUCHIRAPPALLI!AH57:AM58)</f>
        <v>2</v>
      </c>
      <c r="N20" s="11">
        <f>COUNTA(TIRUCHIRAPPALLI!AN57:AS58)</f>
        <v>7</v>
      </c>
      <c r="O20" s="11">
        <f>COUNTA(TIRUCHIRAPPALLI!AT57:AY58)</f>
        <v>2</v>
      </c>
      <c r="P20" s="11">
        <f>COUNTA(TIRUCHIRAPPALLI!AZ57:BE58)</f>
        <v>2</v>
      </c>
      <c r="Q20" s="11">
        <f>COUNTA(TIRUCHIRAPPALLI!BF57:BK58)</f>
        <v>6</v>
      </c>
      <c r="R20" s="11">
        <f>COUNTA(TIRUCHIRAPPALLI!BL57:BQ58)</f>
        <v>2</v>
      </c>
      <c r="S20" s="11">
        <f>COUNTA(TIRUCHIRAPPALLI!BR57:BW58)</f>
        <v>2</v>
      </c>
      <c r="T20" s="104">
        <f>COUNTA(TIRUCHIRAPPALLI!BX57:CC58)</f>
        <v>0</v>
      </c>
      <c r="U20" s="302"/>
      <c r="V20" s="302"/>
      <c r="W20" s="82">
        <f>COUNTIF(TIRUCHIRAPPALLI!$CH$57:$CH$58,1)</f>
        <v>0</v>
      </c>
      <c r="X20" s="189">
        <f>COUNTIF(TIRUCHIRAPPALLI!$CH$57:$CH$58,2)</f>
        <v>0</v>
      </c>
      <c r="Y20" s="189">
        <f>COUNTIF(TIRUCHIRAPPALLI!$CH$57:$CH$58,3)</f>
        <v>0</v>
      </c>
      <c r="Z20" s="189">
        <f>COUNTIF(TIRUCHIRAPPALLI!$CH$57:$CH$58,4)</f>
        <v>2</v>
      </c>
      <c r="AA20" s="192">
        <f>COUNTIF(TIRUCHIRAPPALLI!$CH$57:$CH$58,0)</f>
        <v>0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2:38" s="12" customFormat="1" ht="36.6" customHeight="1" x14ac:dyDescent="0.2">
      <c r="B21" s="310">
        <v>8</v>
      </c>
      <c r="C21" s="311" t="s">
        <v>654</v>
      </c>
      <c r="D21" s="122" t="s">
        <v>15</v>
      </c>
      <c r="E21" s="123">
        <f>COUNTA(PUDUKKOTTAI!A4:A9)</f>
        <v>6</v>
      </c>
      <c r="F21" s="11">
        <f t="shared" si="0"/>
        <v>6</v>
      </c>
      <c r="G21" s="11">
        <f>COUNTA(PUDUKKOTTAI!CE4:CE9)</f>
        <v>6</v>
      </c>
      <c r="H21" s="225">
        <v>1</v>
      </c>
      <c r="I21" s="226"/>
      <c r="J21" s="11"/>
      <c r="K21" s="11">
        <f>COUNTA(PUDUKKOTTAI!V4:AA9)</f>
        <v>2</v>
      </c>
      <c r="L21" s="11">
        <f>COUNTA(PUDUKKOTTAI!AB4:AG9)</f>
        <v>3</v>
      </c>
      <c r="M21" s="11">
        <f>COUNTA(PUDUKKOTTAI!AH4:AM9)</f>
        <v>6</v>
      </c>
      <c r="N21" s="11">
        <f>COUNTA(PUDUKKOTTAI!AN4:AS9)</f>
        <v>9</v>
      </c>
      <c r="O21" s="11">
        <f>COUNTA(PUDUKKOTTAI!AT4:AY9)</f>
        <v>1</v>
      </c>
      <c r="P21" s="11"/>
      <c r="Q21" s="11"/>
      <c r="R21" s="11"/>
      <c r="S21" s="11"/>
      <c r="T21" s="104"/>
      <c r="U21" s="302"/>
      <c r="V21" s="302"/>
      <c r="W21" s="82">
        <f>COUNTIF(PUDUKKOTTAI!$CH$4:$CH$9,1)</f>
        <v>0</v>
      </c>
      <c r="X21" s="189">
        <f>COUNTIF(PUDUKKOTTAI!$CH$4:$CH$9,2)</f>
        <v>1</v>
      </c>
      <c r="Y21" s="189">
        <f>COUNTIF(PUDUKKOTTAI!$CH$4:$CH$9,3)</f>
        <v>2</v>
      </c>
      <c r="Z21" s="189">
        <f>COUNTIF(PUDUKKOTTAI!$CH$4:$CH$9,4)</f>
        <v>3</v>
      </c>
      <c r="AA21" s="192">
        <f>COUNTIF(PUDUKKOTTAI!$CH$4:$CH$9,0)</f>
        <v>0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2:38" s="12" customFormat="1" ht="36.6" customHeight="1" x14ac:dyDescent="0.2">
      <c r="B22" s="441">
        <v>9</v>
      </c>
      <c r="C22" s="455" t="s">
        <v>795</v>
      </c>
      <c r="D22" s="122" t="s">
        <v>15</v>
      </c>
      <c r="E22" s="123">
        <f>COUNTA(KUMBAKONAM!A4:A5)</f>
        <v>2</v>
      </c>
      <c r="F22" s="11">
        <f t="shared" si="0"/>
        <v>2</v>
      </c>
      <c r="G22" s="11">
        <f>COUNTA(KUMBAKONAM!CE4:CE5)</f>
        <v>2</v>
      </c>
      <c r="H22" s="225"/>
      <c r="I22" s="226"/>
      <c r="J22" s="11"/>
      <c r="K22" s="11"/>
      <c r="L22" s="11"/>
      <c r="M22" s="11">
        <f>COUNTA(KUMBAKONAM!P4:U5)</f>
        <v>1</v>
      </c>
      <c r="N22" s="11"/>
      <c r="O22" s="11">
        <f>COUNTA(KUMBAKONAM!AT4:AY5)</f>
        <v>3</v>
      </c>
      <c r="P22" s="11">
        <f>COUNTA(KUMBAKONAM!AZ4:BE5)</f>
        <v>2</v>
      </c>
      <c r="Q22" s="11"/>
      <c r="R22" s="11">
        <f>COUNTA(KUMBAKONAM!BL4:BQ5)</f>
        <v>1</v>
      </c>
      <c r="S22" s="11"/>
      <c r="T22" s="104"/>
      <c r="U22" s="302"/>
      <c r="V22" s="302"/>
      <c r="W22" s="82">
        <f>COUNTIF(KUMBAKONAM!$CH$4:$CH$5,1)</f>
        <v>0</v>
      </c>
      <c r="X22" s="189">
        <f>COUNTIF(KUMBAKONAM!$CH$4:$CH$5,2)</f>
        <v>0</v>
      </c>
      <c r="Y22" s="189">
        <f>COUNTIF(KUMBAKONAM!$CH$4:$CH$5,3)</f>
        <v>1</v>
      </c>
      <c r="Z22" s="189">
        <f>COUNTIF(KUMBAKONAM!$CH$4:$CH$5,4)</f>
        <v>1</v>
      </c>
      <c r="AA22" s="192">
        <f>COUNTIF(KUMBAKONAM!$CH$4:$CH$5,0)</f>
        <v>0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2:38" s="12" customFormat="1" ht="36.6" customHeight="1" x14ac:dyDescent="0.2">
      <c r="B23" s="441"/>
      <c r="C23" s="455"/>
      <c r="D23" s="122" t="s">
        <v>30</v>
      </c>
      <c r="E23" s="123">
        <f>COUNTA(KUMBAKONAM!A7:A12)</f>
        <v>6</v>
      </c>
      <c r="F23" s="11">
        <f t="shared" si="0"/>
        <v>6</v>
      </c>
      <c r="G23" s="11">
        <f>COUNTA(KUMBAKONAM!CE7:CE12)</f>
        <v>5</v>
      </c>
      <c r="H23" s="225">
        <v>2</v>
      </c>
      <c r="I23" s="226"/>
      <c r="J23" s="11"/>
      <c r="K23" s="11"/>
      <c r="L23" s="11"/>
      <c r="M23" s="11">
        <f>COUNTA(KUMBAKONAM!P7:U12)</f>
        <v>4</v>
      </c>
      <c r="N23" s="11"/>
      <c r="O23" s="11">
        <f>COUNTA(KUMBAKONAM!AT7:AY12)</f>
        <v>7</v>
      </c>
      <c r="P23" s="11">
        <f>COUNTA(KUMBAKONAM!AZ7:BE12)</f>
        <v>3</v>
      </c>
      <c r="Q23" s="11"/>
      <c r="R23" s="11">
        <f>COUNTA(KUMBAKONAM!BL7:BQ12)</f>
        <v>3</v>
      </c>
      <c r="S23" s="11"/>
      <c r="T23" s="104"/>
      <c r="U23" s="302"/>
      <c r="V23" s="302"/>
      <c r="W23" s="82">
        <f>COUNTIF(KUMBAKONAM!$CH$7:$CH$12,1)</f>
        <v>1</v>
      </c>
      <c r="X23" s="189">
        <f>COUNTIF(KUMBAKONAM!$CH$7:$CH$12,2)</f>
        <v>1</v>
      </c>
      <c r="Y23" s="189">
        <f>COUNTIF(KUMBAKONAM!$CH$7:$CH$12,3)</f>
        <v>2</v>
      </c>
      <c r="Z23" s="189">
        <f>COUNTIF(KUMBAKONAM!$CH$7:$CH$12,4)</f>
        <v>2</v>
      </c>
      <c r="AA23" s="192">
        <f>COUNTIF(KUMBAKONAM!$CH$7:$CH$12,0)</f>
        <v>0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2:38" s="12" customFormat="1" ht="36.6" customHeight="1" thickBot="1" x14ac:dyDescent="0.25">
      <c r="B24" s="310">
        <v>10</v>
      </c>
      <c r="C24" s="304" t="s">
        <v>849</v>
      </c>
      <c r="D24" s="305" t="s">
        <v>30</v>
      </c>
      <c r="E24" s="221">
        <f>COUNTA('KARAIKAL '!A4:A5)</f>
        <v>2</v>
      </c>
      <c r="F24" s="218">
        <f t="shared" si="0"/>
        <v>2</v>
      </c>
      <c r="G24" s="218">
        <f>COUNTA('KARAIKAL '!AI4:AI5)</f>
        <v>2</v>
      </c>
      <c r="H24" s="225"/>
      <c r="I24" s="226"/>
      <c r="J24" s="11"/>
      <c r="K24" s="11"/>
      <c r="L24" s="11"/>
      <c r="M24" s="11"/>
      <c r="N24" s="11">
        <f>COUNTA('KARAIKAL '!P4:U5)</f>
        <v>2</v>
      </c>
      <c r="O24" s="11">
        <f>COUNTA('KARAIKAL '!V4:AA5)</f>
        <v>3</v>
      </c>
      <c r="P24" s="11">
        <f>COUNTA('KARAIKAL '!AB4:AG5)</f>
        <v>2</v>
      </c>
      <c r="Q24" s="11"/>
      <c r="R24" s="11"/>
      <c r="S24" s="11"/>
      <c r="T24" s="104"/>
      <c r="U24" s="302"/>
      <c r="V24" s="302"/>
      <c r="W24" s="82">
        <f>COUNTIF('KARAIKAL '!$AL$4:$AL$5,1)</f>
        <v>0</v>
      </c>
      <c r="X24" s="189">
        <f>COUNTIF('KARAIKAL '!$AL$4:$AL$5,2)</f>
        <v>0</v>
      </c>
      <c r="Y24" s="189">
        <f>COUNTIF('KARAIKAL '!$AL$4:$AL$5,3)</f>
        <v>1</v>
      </c>
      <c r="Z24" s="189">
        <f>COUNTIF('KARAIKAL '!$AL$4:$AL$5,4)</f>
        <v>1</v>
      </c>
      <c r="AA24" s="192">
        <f>COUNTIF('KARAIKAL '!$AL$4:$AL$5,0)</f>
        <v>0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2:38" s="12" customFormat="1" ht="36.6" customHeight="1" thickBot="1" x14ac:dyDescent="0.25">
      <c r="B25" s="323">
        <v>11</v>
      </c>
      <c r="C25" s="421" t="s">
        <v>217</v>
      </c>
      <c r="D25" s="422"/>
      <c r="E25" s="422"/>
      <c r="F25" s="422"/>
      <c r="G25" s="423"/>
      <c r="H25" s="381">
        <v>12</v>
      </c>
      <c r="I25" s="383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1"/>
      <c r="U25" s="302"/>
      <c r="V25" s="302"/>
      <c r="W25" s="142"/>
      <c r="X25" s="193"/>
      <c r="Y25" s="193"/>
      <c r="Z25" s="193"/>
      <c r="AA25" s="194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2:38" ht="39.6" customHeight="1" thickBot="1" x14ac:dyDescent="0.25">
      <c r="B26" s="437" t="s">
        <v>912</v>
      </c>
      <c r="C26" s="438"/>
      <c r="D26" s="439"/>
      <c r="E26" s="322">
        <f>SUM(E7:E25)</f>
        <v>114</v>
      </c>
      <c r="F26" s="322">
        <f t="shared" ref="F26:T26" si="1">SUM(F7:F25)</f>
        <v>114</v>
      </c>
      <c r="G26" s="322">
        <f t="shared" si="1"/>
        <v>97</v>
      </c>
      <c r="H26" s="372">
        <f t="shared" si="1"/>
        <v>29</v>
      </c>
      <c r="I26" s="322">
        <f t="shared" si="1"/>
        <v>30</v>
      </c>
      <c r="J26" s="322">
        <f t="shared" si="1"/>
        <v>76</v>
      </c>
      <c r="K26" s="322">
        <f t="shared" si="1"/>
        <v>78</v>
      </c>
      <c r="L26" s="322">
        <f t="shared" si="1"/>
        <v>85</v>
      </c>
      <c r="M26" s="322">
        <f t="shared" si="1"/>
        <v>92</v>
      </c>
      <c r="N26" s="322">
        <f t="shared" si="1"/>
        <v>99</v>
      </c>
      <c r="O26" s="322">
        <f t="shared" si="1"/>
        <v>98</v>
      </c>
      <c r="P26" s="322">
        <f t="shared" si="1"/>
        <v>88</v>
      </c>
      <c r="Q26" s="322">
        <f t="shared" si="1"/>
        <v>71</v>
      </c>
      <c r="R26" s="322">
        <f t="shared" si="1"/>
        <v>65</v>
      </c>
      <c r="S26" s="322">
        <f t="shared" si="1"/>
        <v>85</v>
      </c>
      <c r="T26" s="384">
        <f t="shared" si="1"/>
        <v>24</v>
      </c>
      <c r="U26" s="378"/>
      <c r="V26" s="378"/>
      <c r="W26" s="384">
        <f>SUM(W7:W25)</f>
        <v>8</v>
      </c>
      <c r="X26" s="373">
        <f t="shared" ref="X26:AA26" si="2">SUM(X7:X25)</f>
        <v>18</v>
      </c>
      <c r="Y26" s="322">
        <f t="shared" si="2"/>
        <v>8</v>
      </c>
      <c r="Z26" s="322">
        <f t="shared" si="2"/>
        <v>80</v>
      </c>
      <c r="AA26" s="384">
        <f t="shared" si="2"/>
        <v>0</v>
      </c>
      <c r="AC26" s="106"/>
    </row>
    <row r="27" spans="2:38" ht="62.45" customHeight="1" thickBot="1" x14ac:dyDescent="0.25">
      <c r="B27" s="424" t="s">
        <v>1137</v>
      </c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425"/>
      <c r="Q27" s="425"/>
      <c r="R27" s="425"/>
      <c r="S27" s="425"/>
      <c r="T27" s="425"/>
      <c r="U27" s="370"/>
      <c r="V27" s="370"/>
      <c r="W27" s="368"/>
      <c r="X27" s="368"/>
      <c r="Y27" s="368"/>
      <c r="Z27" s="368"/>
      <c r="AA27" s="369"/>
    </row>
    <row r="28" spans="2:38" ht="33.75" customHeight="1" thickBot="1" x14ac:dyDescent="0.25">
      <c r="B28" s="426" t="s">
        <v>1121</v>
      </c>
      <c r="C28" s="428" t="s">
        <v>24</v>
      </c>
      <c r="D28" s="428" t="s">
        <v>1122</v>
      </c>
      <c r="E28" s="428" t="s">
        <v>1123</v>
      </c>
      <c r="F28" s="426" t="s">
        <v>1124</v>
      </c>
      <c r="G28" s="430"/>
      <c r="H28" s="431"/>
      <c r="I28" s="434" t="s">
        <v>1125</v>
      </c>
      <c r="J28" s="435"/>
      <c r="K28" s="435"/>
      <c r="L28" s="435"/>
      <c r="M28" s="435"/>
      <c r="N28" s="435"/>
      <c r="O28" s="435"/>
      <c r="P28" s="435"/>
      <c r="Q28" s="435"/>
      <c r="R28" s="435"/>
      <c r="S28" s="435"/>
      <c r="T28" s="436"/>
      <c r="U28" s="379"/>
      <c r="V28" s="379"/>
      <c r="W28" s="412" t="s">
        <v>1126</v>
      </c>
      <c r="X28" s="412" t="s">
        <v>1127</v>
      </c>
      <c r="Y28" s="412" t="s">
        <v>1128</v>
      </c>
      <c r="Z28" s="412" t="s">
        <v>1129</v>
      </c>
      <c r="AA28" s="412" t="s">
        <v>1130</v>
      </c>
    </row>
    <row r="29" spans="2:38" ht="27" thickBot="1" x14ac:dyDescent="0.25">
      <c r="B29" s="427"/>
      <c r="C29" s="429"/>
      <c r="D29" s="429"/>
      <c r="E29" s="429"/>
      <c r="F29" s="427"/>
      <c r="G29" s="432"/>
      <c r="H29" s="433"/>
      <c r="I29" s="357" t="s">
        <v>4</v>
      </c>
      <c r="J29" s="357" t="s">
        <v>5</v>
      </c>
      <c r="K29" s="357" t="s">
        <v>6</v>
      </c>
      <c r="L29" s="357" t="s">
        <v>7</v>
      </c>
      <c r="M29" s="357" t="s">
        <v>8</v>
      </c>
      <c r="N29" s="357" t="s">
        <v>9</v>
      </c>
      <c r="O29" s="357" t="s">
        <v>1131</v>
      </c>
      <c r="P29" s="357" t="s">
        <v>1132</v>
      </c>
      <c r="Q29" s="357" t="s">
        <v>1133</v>
      </c>
      <c r="R29" s="357" t="s">
        <v>965</v>
      </c>
      <c r="S29" s="357" t="s">
        <v>1019</v>
      </c>
      <c r="T29" s="357" t="s">
        <v>1092</v>
      </c>
      <c r="U29" s="379"/>
      <c r="V29" s="379"/>
      <c r="W29" s="413"/>
      <c r="X29" s="413"/>
      <c r="Y29" s="413"/>
      <c r="Z29" s="413"/>
      <c r="AA29" s="413"/>
    </row>
    <row r="30" spans="2:38" ht="151.15" customHeight="1" thickBot="1" x14ac:dyDescent="0.25">
      <c r="B30" s="358">
        <v>1</v>
      </c>
      <c r="C30" s="359" t="s">
        <v>1136</v>
      </c>
      <c r="D30" s="360" t="s">
        <v>15</v>
      </c>
      <c r="E30" s="361">
        <f>COUNTA([1]WORKSHOP!A2)</f>
        <v>1</v>
      </c>
      <c r="F30" s="361" t="e">
        <f>SUM(W30)</f>
        <v>#VALUE!</v>
      </c>
      <c r="G30" s="414"/>
      <c r="H30" s="415"/>
      <c r="I30" s="358"/>
      <c r="J30" s="362"/>
      <c r="K30" s="362"/>
      <c r="L30" s="362"/>
      <c r="M30" s="362"/>
      <c r="N30" s="362"/>
      <c r="O30" s="362"/>
      <c r="P30" s="362"/>
      <c r="Q30" s="362">
        <f>COUNTA(WORKSHOP!BF4:BK4)</f>
        <v>1</v>
      </c>
      <c r="R30" s="362"/>
      <c r="S30" s="362"/>
      <c r="T30" s="385"/>
      <c r="U30" s="379"/>
      <c r="V30" s="379"/>
      <c r="W30" s="363" t="e">
        <f>COUNTIF([1]WORKSHOP!$S$4,1)</f>
        <v>#VALUE!</v>
      </c>
      <c r="X30" s="363"/>
      <c r="Y30" s="363"/>
      <c r="Z30" s="363"/>
      <c r="AA30" s="364"/>
    </row>
    <row r="31" spans="2:38" ht="59.45" customHeight="1" thickBot="1" x14ac:dyDescent="0.25">
      <c r="B31" s="416" t="s">
        <v>1134</v>
      </c>
      <c r="C31" s="417"/>
      <c r="D31" s="418"/>
      <c r="E31" s="365">
        <f>SUM(E30:E30)</f>
        <v>1</v>
      </c>
      <c r="F31" s="365" t="e">
        <f>SUM(F30:F30)</f>
        <v>#VALUE!</v>
      </c>
      <c r="G31" s="419"/>
      <c r="H31" s="420"/>
      <c r="I31" s="365"/>
      <c r="J31" s="365"/>
      <c r="K31" s="365"/>
      <c r="L31" s="365"/>
      <c r="M31" s="365"/>
      <c r="N31" s="365"/>
      <c r="O31" s="365"/>
      <c r="P31" s="365"/>
      <c r="Q31" s="365">
        <f>SUM(Q30)</f>
        <v>1</v>
      </c>
      <c r="R31" s="365"/>
      <c r="S31" s="365"/>
      <c r="T31" s="365"/>
      <c r="U31" s="380"/>
      <c r="V31" s="380"/>
      <c r="W31" s="366" t="e">
        <f>SUM(W30:W30)</f>
        <v>#VALUE!</v>
      </c>
      <c r="X31" s="366"/>
      <c r="Y31" s="366"/>
      <c r="Z31" s="366"/>
      <c r="AA31" s="367"/>
    </row>
  </sheetData>
  <mergeCells count="49">
    <mergeCell ref="C22:C23"/>
    <mergeCell ref="C18:C20"/>
    <mergeCell ref="B18:B20"/>
    <mergeCell ref="B22:B23"/>
    <mergeCell ref="B1:AA1"/>
    <mergeCell ref="B5:B6"/>
    <mergeCell ref="C5:C6"/>
    <mergeCell ref="F5:F6"/>
    <mergeCell ref="Z5:Z6"/>
    <mergeCell ref="Y5:Y6"/>
    <mergeCell ref="E5:E6"/>
    <mergeCell ref="D5:D6"/>
    <mergeCell ref="W5:W6"/>
    <mergeCell ref="G5:G6"/>
    <mergeCell ref="B2:C2"/>
    <mergeCell ref="AA5:AA6"/>
    <mergeCell ref="B3:C3"/>
    <mergeCell ref="X5:X6"/>
    <mergeCell ref="F3:G3"/>
    <mergeCell ref="C7:C8"/>
    <mergeCell ref="B7:B8"/>
    <mergeCell ref="I5:T5"/>
    <mergeCell ref="H5:H6"/>
    <mergeCell ref="C9:C10"/>
    <mergeCell ref="B9:B10"/>
    <mergeCell ref="B16:B17"/>
    <mergeCell ref="C16:C17"/>
    <mergeCell ref="C11:C12"/>
    <mergeCell ref="B11:B12"/>
    <mergeCell ref="C13:C14"/>
    <mergeCell ref="B13:B14"/>
    <mergeCell ref="C25:G25"/>
    <mergeCell ref="B27:T27"/>
    <mergeCell ref="B28:B29"/>
    <mergeCell ref="C28:C29"/>
    <mergeCell ref="D28:D29"/>
    <mergeCell ref="E28:E29"/>
    <mergeCell ref="F28:F29"/>
    <mergeCell ref="G28:H29"/>
    <mergeCell ref="I28:T28"/>
    <mergeCell ref="B26:D26"/>
    <mergeCell ref="Y28:Y29"/>
    <mergeCell ref="Z28:Z29"/>
    <mergeCell ref="AA28:AA29"/>
    <mergeCell ref="G30:H30"/>
    <mergeCell ref="B31:D31"/>
    <mergeCell ref="G31:H31"/>
    <mergeCell ref="W28:W29"/>
    <mergeCell ref="X28:X29"/>
  </mergeCells>
  <printOptions horizontalCentered="1"/>
  <pageMargins left="0.15748031496062992" right="0" top="0" bottom="0" header="0" footer="0"/>
  <pageSetup paperSize="9"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36"/>
  <sheetViews>
    <sheetView zoomScale="40" zoomScaleNormal="40" workbookViewId="0">
      <selection activeCell="Y6" sqref="Y6"/>
    </sheetView>
  </sheetViews>
  <sheetFormatPr defaultColWidth="9.140625" defaultRowHeight="12.75" x14ac:dyDescent="0.2"/>
  <cols>
    <col min="1" max="1" width="10.140625" style="276" customWidth="1"/>
    <col min="2" max="2" width="33.5703125" style="277" customWidth="1"/>
    <col min="3" max="3" width="36.7109375" style="277" customWidth="1"/>
    <col min="4" max="4" width="32.28515625" style="278" customWidth="1"/>
    <col min="5" max="5" width="25.7109375" style="279" customWidth="1"/>
    <col min="6" max="6" width="25.42578125" style="269" customWidth="1"/>
    <col min="7" max="7" width="20.85546875" style="278" customWidth="1"/>
    <col min="8" max="8" width="12.42578125" style="279" customWidth="1"/>
    <col min="9" max="9" width="12.85546875" style="269" customWidth="1"/>
    <col min="10" max="21" width="5.5703125" style="280" customWidth="1"/>
    <col min="22" max="24" width="8.42578125" style="276" customWidth="1"/>
    <col min="25" max="25" width="11.140625" style="276" customWidth="1"/>
    <col min="26" max="31" width="8.42578125" style="276" customWidth="1"/>
    <col min="32" max="32" width="29.85546875" style="269" customWidth="1"/>
    <col min="33" max="33" width="15" style="279" customWidth="1"/>
    <col min="34" max="34" width="50.85546875" style="277" customWidth="1"/>
    <col min="35" max="35" width="19.7109375" style="281" customWidth="1"/>
    <col min="36" max="16384" width="9.140625" style="269"/>
  </cols>
  <sheetData>
    <row r="1" spans="1:37" s="228" customFormat="1" ht="35.450000000000003" customHeight="1" thickBot="1" x14ac:dyDescent="0.3">
      <c r="A1" s="473" t="s">
        <v>990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227"/>
    </row>
    <row r="2" spans="1:37" s="232" customFormat="1" ht="21" customHeight="1" thickBot="1" x14ac:dyDescent="0.3">
      <c r="A2" s="475" t="s">
        <v>968</v>
      </c>
      <c r="B2" s="477" t="s">
        <v>969</v>
      </c>
      <c r="C2" s="479" t="s">
        <v>970</v>
      </c>
      <c r="D2" s="481" t="s">
        <v>971</v>
      </c>
      <c r="E2" s="483" t="s">
        <v>972</v>
      </c>
      <c r="F2" s="483" t="s">
        <v>973</v>
      </c>
      <c r="G2" s="481" t="s">
        <v>1</v>
      </c>
      <c r="H2" s="485" t="s">
        <v>3</v>
      </c>
      <c r="I2" s="487" t="s">
        <v>974</v>
      </c>
      <c r="J2" s="469" t="s">
        <v>54</v>
      </c>
      <c r="K2" s="470"/>
      <c r="L2" s="471"/>
      <c r="M2" s="472" t="s">
        <v>53</v>
      </c>
      <c r="N2" s="470"/>
      <c r="O2" s="471"/>
      <c r="P2" s="469" t="s">
        <v>126</v>
      </c>
      <c r="Q2" s="470"/>
      <c r="R2" s="471"/>
      <c r="S2" s="472" t="s">
        <v>125</v>
      </c>
      <c r="T2" s="470"/>
      <c r="U2" s="471"/>
      <c r="V2" s="229" t="s">
        <v>975</v>
      </c>
      <c r="W2" s="230" t="s">
        <v>976</v>
      </c>
      <c r="X2" s="230" t="s">
        <v>977</v>
      </c>
      <c r="Y2" s="230" t="s">
        <v>978</v>
      </c>
      <c r="Z2" s="230" t="s">
        <v>979</v>
      </c>
      <c r="AA2" s="230" t="s">
        <v>980</v>
      </c>
      <c r="AB2" s="230" t="s">
        <v>981</v>
      </c>
      <c r="AC2" s="230" t="s">
        <v>982</v>
      </c>
      <c r="AD2" s="230" t="s">
        <v>983</v>
      </c>
      <c r="AE2" s="230" t="s">
        <v>984</v>
      </c>
      <c r="AF2" s="481" t="s">
        <v>985</v>
      </c>
      <c r="AG2" s="485" t="s">
        <v>986</v>
      </c>
      <c r="AH2" s="489" t="s">
        <v>987</v>
      </c>
      <c r="AI2" s="467" t="s">
        <v>988</v>
      </c>
      <c r="AJ2" s="231"/>
    </row>
    <row r="3" spans="1:37" s="237" customFormat="1" ht="19.5" customHeight="1" thickBot="1" x14ac:dyDescent="0.3">
      <c r="A3" s="476"/>
      <c r="B3" s="478"/>
      <c r="C3" s="480"/>
      <c r="D3" s="482"/>
      <c r="E3" s="484"/>
      <c r="F3" s="484"/>
      <c r="G3" s="482"/>
      <c r="H3" s="486"/>
      <c r="I3" s="488"/>
      <c r="J3" s="233" t="s">
        <v>12</v>
      </c>
      <c r="K3" s="234" t="s">
        <v>13</v>
      </c>
      <c r="L3" s="234" t="s">
        <v>32</v>
      </c>
      <c r="M3" s="234" t="s">
        <v>12</v>
      </c>
      <c r="N3" s="234" t="s">
        <v>13</v>
      </c>
      <c r="O3" s="234" t="s">
        <v>32</v>
      </c>
      <c r="P3" s="233" t="s">
        <v>12</v>
      </c>
      <c r="Q3" s="234" t="s">
        <v>13</v>
      </c>
      <c r="R3" s="234" t="s">
        <v>32</v>
      </c>
      <c r="S3" s="234" t="s">
        <v>12</v>
      </c>
      <c r="T3" s="234" t="s">
        <v>13</v>
      </c>
      <c r="U3" s="234" t="s">
        <v>32</v>
      </c>
      <c r="V3" s="235"/>
      <c r="W3" s="236"/>
      <c r="X3" s="236"/>
      <c r="Y3" s="236"/>
      <c r="Z3" s="236"/>
      <c r="AA3" s="236"/>
      <c r="AB3" s="236"/>
      <c r="AC3" s="236"/>
      <c r="AD3" s="236"/>
      <c r="AE3" s="236"/>
      <c r="AF3" s="486"/>
      <c r="AG3" s="486"/>
      <c r="AH3" s="490"/>
      <c r="AI3" s="468"/>
      <c r="AK3" s="238"/>
    </row>
    <row r="4" spans="1:37" s="237" customFormat="1" ht="19.5" customHeight="1" thickBot="1" x14ac:dyDescent="0.3">
      <c r="A4" s="282"/>
      <c r="B4" s="295"/>
      <c r="C4" s="296"/>
      <c r="D4" s="296"/>
      <c r="E4" s="296"/>
      <c r="F4" s="296"/>
      <c r="G4" s="296"/>
      <c r="H4" s="239"/>
      <c r="I4" s="297"/>
      <c r="J4" s="240"/>
      <c r="K4" s="234"/>
      <c r="L4" s="234"/>
      <c r="M4" s="234"/>
      <c r="N4" s="234"/>
      <c r="O4" s="234"/>
      <c r="P4" s="240"/>
      <c r="Q4" s="240"/>
      <c r="R4" s="240"/>
      <c r="S4" s="240"/>
      <c r="T4" s="240"/>
      <c r="U4" s="240"/>
      <c r="V4" s="241"/>
      <c r="W4" s="242"/>
      <c r="X4" s="242"/>
      <c r="Y4" s="242"/>
      <c r="Z4" s="242"/>
      <c r="AA4" s="242"/>
      <c r="AB4" s="242"/>
      <c r="AC4" s="242"/>
      <c r="AD4" s="242"/>
      <c r="AE4" s="242"/>
      <c r="AF4" s="239"/>
      <c r="AG4" s="239"/>
      <c r="AH4" s="243"/>
      <c r="AI4" s="244"/>
      <c r="AK4" s="238"/>
    </row>
    <row r="5" spans="1:37" s="256" customFormat="1" ht="101.25" customHeight="1" x14ac:dyDescent="0.2">
      <c r="A5" s="495">
        <v>1</v>
      </c>
      <c r="B5" s="493" t="s">
        <v>492</v>
      </c>
      <c r="C5" s="293" t="s">
        <v>992</v>
      </c>
      <c r="D5" s="293" t="s">
        <v>991</v>
      </c>
      <c r="E5" s="293" t="s">
        <v>1022</v>
      </c>
      <c r="F5" s="498"/>
      <c r="G5" s="498" t="s">
        <v>226</v>
      </c>
      <c r="H5" s="498" t="s">
        <v>223</v>
      </c>
      <c r="I5" s="498">
        <v>525</v>
      </c>
      <c r="J5" s="251"/>
      <c r="K5" s="251"/>
      <c r="L5" s="252"/>
      <c r="M5" s="253" t="s">
        <v>31</v>
      </c>
      <c r="N5" s="253" t="s">
        <v>31</v>
      </c>
      <c r="O5" s="252"/>
      <c r="P5" s="253" t="s">
        <v>31</v>
      </c>
      <c r="Q5" s="252"/>
      <c r="R5" s="252"/>
      <c r="S5" s="252"/>
      <c r="T5" s="252"/>
      <c r="U5" s="252"/>
      <c r="V5" s="254">
        <v>1</v>
      </c>
      <c r="W5" s="254">
        <v>1</v>
      </c>
      <c r="X5" s="254"/>
      <c r="Y5" s="254"/>
      <c r="Z5" s="254"/>
      <c r="AA5" s="254"/>
      <c r="AB5" s="254"/>
      <c r="AC5" s="254"/>
      <c r="AD5" s="254">
        <v>1</v>
      </c>
      <c r="AE5" s="254">
        <v>1</v>
      </c>
      <c r="AF5" s="293" t="s">
        <v>992</v>
      </c>
      <c r="AG5" s="255"/>
      <c r="AH5" s="491" t="s">
        <v>1068</v>
      </c>
    </row>
    <row r="6" spans="1:37" s="256" customFormat="1" ht="101.25" customHeight="1" x14ac:dyDescent="0.2">
      <c r="A6" s="496"/>
      <c r="B6" s="493"/>
      <c r="C6" s="298" t="s">
        <v>1067</v>
      </c>
      <c r="D6" s="500" t="s">
        <v>1021</v>
      </c>
      <c r="E6" s="500" t="s">
        <v>1022</v>
      </c>
      <c r="F6" s="498"/>
      <c r="G6" s="498"/>
      <c r="H6" s="498"/>
      <c r="I6" s="498"/>
      <c r="J6" s="251"/>
      <c r="K6" s="251"/>
      <c r="L6" s="252"/>
      <c r="M6" s="253"/>
      <c r="N6" s="253"/>
      <c r="O6" s="252"/>
      <c r="P6" s="253"/>
      <c r="Q6" s="252"/>
      <c r="R6" s="252"/>
      <c r="S6" s="252"/>
      <c r="T6" s="252"/>
      <c r="U6" s="252"/>
      <c r="V6" s="254">
        <v>1</v>
      </c>
      <c r="W6" s="254"/>
      <c r="X6" s="254"/>
      <c r="Y6" s="254"/>
      <c r="Z6" s="254"/>
      <c r="AA6" s="254"/>
      <c r="AB6" s="254"/>
      <c r="AC6" s="254"/>
      <c r="AD6" s="254"/>
      <c r="AE6" s="254"/>
      <c r="AF6" s="298" t="s">
        <v>1067</v>
      </c>
      <c r="AG6" s="255"/>
      <c r="AH6" s="491"/>
    </row>
    <row r="7" spans="1:37" s="256" customFormat="1" ht="101.25" customHeight="1" x14ac:dyDescent="0.2">
      <c r="A7" s="497"/>
      <c r="B7" s="494"/>
      <c r="C7" s="250" t="s">
        <v>1020</v>
      </c>
      <c r="D7" s="499"/>
      <c r="E7" s="499"/>
      <c r="F7" s="499"/>
      <c r="G7" s="499"/>
      <c r="H7" s="499"/>
      <c r="I7" s="499"/>
      <c r="J7" s="251"/>
      <c r="K7" s="251"/>
      <c r="L7" s="252"/>
      <c r="M7" s="253" t="s">
        <v>31</v>
      </c>
      <c r="N7" s="253"/>
      <c r="O7" s="252"/>
      <c r="P7" s="253"/>
      <c r="Q7" s="252"/>
      <c r="R7" s="252"/>
      <c r="S7" s="252"/>
      <c r="T7" s="252"/>
      <c r="U7" s="252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0" t="s">
        <v>1020</v>
      </c>
      <c r="AG7" s="255"/>
      <c r="AH7" s="492"/>
    </row>
    <row r="8" spans="1:37" s="256" customFormat="1" ht="82.5" hidden="1" customHeight="1" x14ac:dyDescent="0.2">
      <c r="A8" s="503">
        <v>2</v>
      </c>
      <c r="B8" s="504" t="s">
        <v>993</v>
      </c>
      <c r="C8" s="247" t="s">
        <v>995</v>
      </c>
      <c r="D8" s="248" t="s">
        <v>1024</v>
      </c>
      <c r="E8" s="248">
        <v>7373744880</v>
      </c>
      <c r="F8" s="249"/>
      <c r="G8" s="500" t="s">
        <v>242</v>
      </c>
      <c r="H8" s="500" t="s">
        <v>15</v>
      </c>
      <c r="I8" s="500">
        <v>700</v>
      </c>
      <c r="J8" s="257"/>
      <c r="M8" s="253" t="s">
        <v>31</v>
      </c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47" t="s">
        <v>995</v>
      </c>
      <c r="AG8" s="259"/>
      <c r="AH8" s="260" t="s">
        <v>994</v>
      </c>
    </row>
    <row r="9" spans="1:37" s="256" customFormat="1" ht="82.5" customHeight="1" x14ac:dyDescent="0.2">
      <c r="A9" s="497"/>
      <c r="B9" s="505"/>
      <c r="C9" s="247" t="s">
        <v>1026</v>
      </c>
      <c r="D9" s="294" t="s">
        <v>1027</v>
      </c>
      <c r="E9" s="294">
        <v>7373722522</v>
      </c>
      <c r="F9" s="249"/>
      <c r="G9" s="499"/>
      <c r="H9" s="499"/>
      <c r="I9" s="499"/>
      <c r="J9" s="257"/>
      <c r="M9" s="253"/>
      <c r="P9" s="253" t="s">
        <v>31</v>
      </c>
      <c r="V9" s="258"/>
      <c r="W9" s="258"/>
      <c r="X9" s="258"/>
      <c r="Y9" s="258">
        <v>1</v>
      </c>
      <c r="Z9" s="258"/>
      <c r="AA9" s="258"/>
      <c r="AB9" s="258"/>
      <c r="AC9" s="258"/>
      <c r="AD9" s="258"/>
      <c r="AE9" s="258"/>
      <c r="AF9" s="247" t="s">
        <v>1026</v>
      </c>
      <c r="AG9" s="259"/>
      <c r="AH9" s="260" t="s">
        <v>1029</v>
      </c>
    </row>
    <row r="10" spans="1:37" s="256" customFormat="1" ht="82.5" customHeight="1" x14ac:dyDescent="0.2">
      <c r="A10" s="503">
        <v>3</v>
      </c>
      <c r="B10" s="504" t="s">
        <v>499</v>
      </c>
      <c r="C10" s="284" t="s">
        <v>1014</v>
      </c>
      <c r="D10" s="500" t="s">
        <v>1013</v>
      </c>
      <c r="E10" s="500">
        <v>9842444117</v>
      </c>
      <c r="F10" s="247"/>
      <c r="G10" s="506" t="s">
        <v>226</v>
      </c>
      <c r="H10" s="501" t="s">
        <v>223</v>
      </c>
      <c r="I10" s="501">
        <v>682</v>
      </c>
      <c r="M10" s="253"/>
      <c r="P10" s="253" t="s">
        <v>31</v>
      </c>
      <c r="V10" s="258">
        <v>1</v>
      </c>
      <c r="W10" s="258">
        <v>1</v>
      </c>
      <c r="X10" s="258"/>
      <c r="Y10" s="258"/>
      <c r="Z10" s="258"/>
      <c r="AA10" s="258"/>
      <c r="AB10" s="258"/>
      <c r="AC10" s="258"/>
      <c r="AD10" s="258">
        <v>1</v>
      </c>
      <c r="AE10" s="258">
        <v>1</v>
      </c>
      <c r="AF10" s="284" t="s">
        <v>1014</v>
      </c>
      <c r="AG10" s="259"/>
      <c r="AH10" s="260" t="s">
        <v>1015</v>
      </c>
    </row>
    <row r="11" spans="1:37" s="256" customFormat="1" ht="82.5" customHeight="1" x14ac:dyDescent="0.2">
      <c r="A11" s="497"/>
      <c r="B11" s="505"/>
      <c r="C11" s="284" t="s">
        <v>1023</v>
      </c>
      <c r="D11" s="499"/>
      <c r="E11" s="499"/>
      <c r="F11" s="249"/>
      <c r="G11" s="507"/>
      <c r="H11" s="502"/>
      <c r="I11" s="502"/>
      <c r="M11" s="253" t="s">
        <v>31</v>
      </c>
      <c r="P11" s="253"/>
      <c r="V11" s="258">
        <v>1</v>
      </c>
      <c r="W11" s="258">
        <v>1</v>
      </c>
      <c r="X11" s="258"/>
      <c r="Y11" s="258"/>
      <c r="Z11" s="258"/>
      <c r="AA11" s="258"/>
      <c r="AB11" s="258"/>
      <c r="AC11" s="258"/>
      <c r="AD11" s="258">
        <v>1</v>
      </c>
      <c r="AE11" s="258">
        <v>1</v>
      </c>
      <c r="AF11" s="284" t="s">
        <v>1014</v>
      </c>
      <c r="AG11" s="259"/>
      <c r="AH11" s="260" t="s">
        <v>1025</v>
      </c>
    </row>
    <row r="12" spans="1:37" s="256" customFormat="1" ht="82.5" hidden="1" customHeight="1" x14ac:dyDescent="0.2">
      <c r="A12" s="245">
        <v>4</v>
      </c>
      <c r="B12" s="246" t="s">
        <v>759</v>
      </c>
      <c r="C12" s="247" t="s">
        <v>1028</v>
      </c>
      <c r="D12" s="248" t="s">
        <v>760</v>
      </c>
      <c r="F12" s="249"/>
      <c r="G12" s="247" t="s">
        <v>241</v>
      </c>
      <c r="H12" s="248" t="s">
        <v>15</v>
      </c>
      <c r="I12" s="248">
        <v>700</v>
      </c>
      <c r="M12" s="253" t="s">
        <v>31</v>
      </c>
      <c r="AF12" s="247" t="s">
        <v>1028</v>
      </c>
      <c r="AG12" s="259"/>
      <c r="AH12" s="260" t="s">
        <v>1001</v>
      </c>
    </row>
    <row r="13" spans="1:37" s="256" customFormat="1" ht="82.15" customHeight="1" x14ac:dyDescent="0.2">
      <c r="A13" s="245">
        <v>5</v>
      </c>
      <c r="B13" s="246" t="s">
        <v>1030</v>
      </c>
      <c r="C13" s="248" t="s">
        <v>1032</v>
      </c>
      <c r="D13" s="248" t="s">
        <v>1033</v>
      </c>
      <c r="E13" s="248">
        <v>9442256055</v>
      </c>
      <c r="F13" s="249"/>
      <c r="G13" s="247" t="s">
        <v>1031</v>
      </c>
      <c r="H13" s="247" t="s">
        <v>223</v>
      </c>
      <c r="I13" s="248">
        <v>1000</v>
      </c>
      <c r="P13" s="253" t="s">
        <v>31</v>
      </c>
      <c r="Y13" s="258">
        <v>1</v>
      </c>
      <c r="Z13" s="258"/>
      <c r="AA13" s="258">
        <v>1</v>
      </c>
      <c r="AB13" s="258"/>
      <c r="AF13" s="248" t="s">
        <v>1032</v>
      </c>
      <c r="AG13" s="259"/>
      <c r="AH13" s="260" t="s">
        <v>1034</v>
      </c>
    </row>
    <row r="14" spans="1:37" s="256" customFormat="1" ht="82.5" customHeight="1" x14ac:dyDescent="0.2">
      <c r="A14" s="283">
        <v>6</v>
      </c>
      <c r="C14" s="292"/>
      <c r="D14" s="292"/>
      <c r="E14" s="292"/>
      <c r="G14" s="259"/>
      <c r="H14" s="259"/>
      <c r="AG14" s="259"/>
      <c r="AH14" s="263"/>
    </row>
    <row r="15" spans="1:37" s="256" customFormat="1" ht="82.5" customHeight="1" x14ac:dyDescent="0.2">
      <c r="A15" s="245">
        <v>7</v>
      </c>
      <c r="C15" s="292"/>
      <c r="D15" s="292"/>
      <c r="E15" s="292"/>
      <c r="G15" s="259"/>
      <c r="H15" s="259"/>
      <c r="AG15" s="259"/>
      <c r="AH15" s="263"/>
    </row>
    <row r="16" spans="1:37" s="256" customFormat="1" ht="82.5" customHeight="1" x14ac:dyDescent="0.2">
      <c r="A16" s="245">
        <v>8</v>
      </c>
      <c r="C16" s="292"/>
      <c r="D16" s="292"/>
      <c r="E16" s="292"/>
      <c r="G16" s="259"/>
      <c r="H16" s="259"/>
      <c r="AG16" s="259"/>
      <c r="AH16" s="263"/>
    </row>
    <row r="17" spans="1:34" s="256" customFormat="1" ht="82.5" customHeight="1" x14ac:dyDescent="0.2">
      <c r="A17" s="283">
        <v>9</v>
      </c>
      <c r="C17" s="292"/>
      <c r="D17" s="292"/>
      <c r="E17" s="292"/>
      <c r="G17" s="259"/>
      <c r="H17" s="259"/>
      <c r="AG17" s="259"/>
      <c r="AH17" s="263"/>
    </row>
    <row r="18" spans="1:34" s="256" customFormat="1" ht="82.5" customHeight="1" x14ac:dyDescent="0.2">
      <c r="A18" s="245">
        <v>10</v>
      </c>
      <c r="C18" s="292"/>
      <c r="D18" s="292"/>
      <c r="E18" s="292"/>
      <c r="G18" s="259"/>
      <c r="H18" s="259"/>
      <c r="AG18" s="259"/>
      <c r="AH18" s="263"/>
    </row>
    <row r="19" spans="1:34" s="256" customFormat="1" ht="82.5" customHeight="1" x14ac:dyDescent="0.2">
      <c r="A19" s="245">
        <v>11</v>
      </c>
      <c r="C19" s="292"/>
      <c r="D19" s="292"/>
      <c r="E19" s="292"/>
      <c r="G19" s="259"/>
      <c r="H19" s="259"/>
      <c r="AG19" s="259"/>
      <c r="AH19" s="263"/>
    </row>
    <row r="20" spans="1:34" s="256" customFormat="1" ht="82.5" customHeight="1" x14ac:dyDescent="0.2">
      <c r="A20" s="283">
        <v>12</v>
      </c>
      <c r="C20" s="292"/>
      <c r="D20" s="292"/>
      <c r="E20" s="292"/>
      <c r="G20" s="259"/>
      <c r="H20" s="259"/>
      <c r="AG20" s="259"/>
      <c r="AH20" s="263"/>
    </row>
    <row r="21" spans="1:34" s="256" customFormat="1" ht="82.5" customHeight="1" x14ac:dyDescent="0.2">
      <c r="A21" s="245">
        <v>13</v>
      </c>
      <c r="C21" s="292"/>
      <c r="D21" s="292"/>
      <c r="E21" s="292"/>
      <c r="G21" s="259"/>
      <c r="H21" s="259"/>
      <c r="AG21" s="259"/>
      <c r="AH21" s="263"/>
    </row>
    <row r="22" spans="1:34" s="256" customFormat="1" ht="35.450000000000003" customHeight="1" thickBot="1" x14ac:dyDescent="0.25">
      <c r="A22" s="245"/>
      <c r="B22" s="252"/>
      <c r="C22" s="262"/>
      <c r="D22" s="262"/>
      <c r="E22" s="262"/>
      <c r="F22" s="252"/>
      <c r="G22" s="255"/>
      <c r="H22" s="255"/>
      <c r="I22" s="252"/>
      <c r="J22" s="252"/>
      <c r="K22" s="252"/>
      <c r="L22" s="252"/>
      <c r="M22" s="252"/>
      <c r="N22" s="252"/>
      <c r="O22" s="288"/>
      <c r="P22" s="286"/>
      <c r="Q22" s="286"/>
      <c r="R22" s="286"/>
      <c r="S22" s="286"/>
      <c r="T22" s="286"/>
      <c r="U22" s="286"/>
      <c r="V22" s="289">
        <f>V5:AE5</f>
        <v>1</v>
      </c>
      <c r="W22" s="289">
        <f t="shared" ref="W22:AE22" si="0">W5:AF5</f>
        <v>1</v>
      </c>
      <c r="X22" s="289">
        <f t="shared" si="0"/>
        <v>0</v>
      </c>
      <c r="Y22" s="289">
        <f t="shared" si="0"/>
        <v>0</v>
      </c>
      <c r="Z22" s="289">
        <f t="shared" si="0"/>
        <v>0</v>
      </c>
      <c r="AA22" s="289">
        <f t="shared" si="0"/>
        <v>0</v>
      </c>
      <c r="AB22" s="289">
        <f t="shared" si="0"/>
        <v>0</v>
      </c>
      <c r="AC22" s="289">
        <f t="shared" si="0"/>
        <v>0</v>
      </c>
      <c r="AD22" s="289">
        <f t="shared" si="0"/>
        <v>1</v>
      </c>
      <c r="AE22" s="289">
        <f t="shared" si="0"/>
        <v>1</v>
      </c>
      <c r="AF22" s="290"/>
      <c r="AG22" s="255"/>
      <c r="AH22" s="291"/>
    </row>
    <row r="23" spans="1:34" s="256" customFormat="1" ht="82.5" customHeight="1" x14ac:dyDescent="0.2">
      <c r="A23" s="261"/>
      <c r="C23" s="262"/>
      <c r="D23" s="262"/>
      <c r="E23" s="262"/>
      <c r="G23" s="259"/>
      <c r="H23" s="259"/>
      <c r="AG23" s="259"/>
      <c r="AH23" s="263"/>
    </row>
    <row r="24" spans="1:34" s="256" customFormat="1" ht="82.5" customHeight="1" thickBot="1" x14ac:dyDescent="0.25">
      <c r="A24" s="261"/>
      <c r="C24" s="262"/>
      <c r="D24" s="262"/>
      <c r="E24" s="262"/>
      <c r="G24" s="259"/>
      <c r="H24" s="259"/>
      <c r="W24" s="265"/>
      <c r="X24" s="265"/>
      <c r="Y24" s="265"/>
      <c r="Z24" s="265"/>
      <c r="AA24" s="265"/>
      <c r="AB24" s="265"/>
      <c r="AC24" s="265"/>
      <c r="AD24" s="265"/>
      <c r="AE24" s="265"/>
      <c r="AG24" s="259"/>
      <c r="AH24" s="263"/>
    </row>
    <row r="25" spans="1:34" s="256" customFormat="1" ht="82.5" customHeight="1" thickBot="1" x14ac:dyDescent="0.25">
      <c r="A25" s="261"/>
      <c r="C25" s="262"/>
      <c r="D25" s="262"/>
      <c r="E25" s="262"/>
      <c r="G25" s="259"/>
      <c r="H25" s="259"/>
      <c r="P25" s="287"/>
      <c r="Q25" s="287"/>
      <c r="R25" s="287"/>
      <c r="S25" s="287"/>
      <c r="T25" s="287"/>
      <c r="U25" s="287"/>
      <c r="V25" s="264">
        <v>12</v>
      </c>
      <c r="W25" s="264">
        <v>12</v>
      </c>
      <c r="X25" s="264">
        <v>10</v>
      </c>
      <c r="Y25" s="264">
        <v>9</v>
      </c>
      <c r="Z25" s="264">
        <v>7</v>
      </c>
      <c r="AA25" s="264">
        <v>10</v>
      </c>
      <c r="AB25" s="264">
        <v>0</v>
      </c>
      <c r="AC25" s="264">
        <v>10</v>
      </c>
      <c r="AD25" s="264">
        <v>12</v>
      </c>
      <c r="AE25" s="266">
        <v>12</v>
      </c>
      <c r="AF25" s="267" t="s">
        <v>989</v>
      </c>
      <c r="AG25" s="259"/>
      <c r="AH25" s="263"/>
    </row>
    <row r="26" spans="1:34" s="256" customFormat="1" ht="82.5" customHeight="1" x14ac:dyDescent="0.2">
      <c r="A26" s="261"/>
      <c r="C26" s="262"/>
      <c r="D26" s="262"/>
      <c r="E26" s="262"/>
      <c r="G26" s="259"/>
      <c r="H26" s="259"/>
      <c r="AG26" s="259"/>
      <c r="AH26" s="263"/>
    </row>
    <row r="27" spans="1:34" s="256" customFormat="1" ht="82.5" customHeight="1" x14ac:dyDescent="0.2">
      <c r="A27" s="261"/>
      <c r="C27" s="262"/>
      <c r="D27" s="262"/>
      <c r="E27" s="262"/>
      <c r="G27" s="259"/>
      <c r="H27" s="259"/>
      <c r="AG27" s="259"/>
      <c r="AH27" s="263"/>
    </row>
    <row r="28" spans="1:34" s="256" customFormat="1" ht="82.5" customHeight="1" x14ac:dyDescent="0.2">
      <c r="A28" s="261"/>
      <c r="C28" s="262"/>
      <c r="D28" s="262"/>
      <c r="E28" s="262"/>
      <c r="G28" s="259"/>
      <c r="H28" s="259"/>
      <c r="AG28" s="259"/>
      <c r="AH28" s="263"/>
    </row>
    <row r="29" spans="1:34" s="256" customFormat="1" ht="82.5" customHeight="1" x14ac:dyDescent="0.2">
      <c r="A29" s="261"/>
      <c r="C29" s="262"/>
      <c r="D29" s="262"/>
      <c r="E29" s="262"/>
      <c r="G29" s="259"/>
      <c r="H29" s="259"/>
      <c r="AG29" s="259"/>
      <c r="AH29" s="263"/>
    </row>
    <row r="30" spans="1:34" s="256" customFormat="1" ht="82.5" customHeight="1" x14ac:dyDescent="0.2">
      <c r="A30" s="261"/>
      <c r="C30" s="262"/>
      <c r="D30" s="262"/>
      <c r="E30" s="262"/>
      <c r="G30" s="259"/>
      <c r="H30" s="259"/>
      <c r="AG30" s="259"/>
      <c r="AH30" s="263"/>
    </row>
    <row r="31" spans="1:34" s="256" customFormat="1" ht="82.5" customHeight="1" x14ac:dyDescent="0.2">
      <c r="A31" s="261"/>
      <c r="C31" s="262"/>
      <c r="D31" s="262"/>
      <c r="E31" s="262"/>
      <c r="G31" s="259"/>
      <c r="H31" s="259"/>
      <c r="AG31" s="259"/>
      <c r="AH31" s="263"/>
    </row>
    <row r="32" spans="1:34" s="256" customFormat="1" ht="82.5" customHeight="1" x14ac:dyDescent="0.2">
      <c r="A32" s="261"/>
      <c r="C32" s="262"/>
      <c r="D32" s="262"/>
      <c r="E32" s="262"/>
      <c r="G32" s="259"/>
      <c r="H32" s="259"/>
      <c r="AG32" s="259"/>
      <c r="AH32" s="263"/>
    </row>
    <row r="33" spans="1:34" s="256" customFormat="1" ht="82.5" customHeight="1" x14ac:dyDescent="0.2">
      <c r="A33" s="261"/>
      <c r="C33" s="262"/>
      <c r="D33" s="262"/>
      <c r="E33" s="262"/>
      <c r="G33" s="259"/>
      <c r="H33" s="259"/>
      <c r="AG33" s="259"/>
      <c r="AH33" s="263"/>
    </row>
    <row r="34" spans="1:34" s="256" customFormat="1" ht="82.5" customHeight="1" x14ac:dyDescent="0.2">
      <c r="A34" s="261"/>
      <c r="C34" s="262"/>
      <c r="D34" s="262"/>
      <c r="E34" s="262"/>
      <c r="G34" s="259"/>
      <c r="H34" s="259"/>
      <c r="AG34" s="259"/>
      <c r="AH34" s="263"/>
    </row>
    <row r="35" spans="1:34" s="256" customFormat="1" ht="82.5" customHeight="1" x14ac:dyDescent="0.2">
      <c r="A35" s="261"/>
      <c r="C35" s="262"/>
      <c r="D35" s="262"/>
      <c r="E35" s="262"/>
      <c r="G35" s="259"/>
      <c r="H35" s="259"/>
      <c r="AG35" s="259"/>
      <c r="AH35" s="263"/>
    </row>
    <row r="36" spans="1:34" s="256" customFormat="1" ht="78.75" customHeight="1" x14ac:dyDescent="0.2">
      <c r="A36" s="261"/>
      <c r="D36" s="259"/>
      <c r="E36" s="259"/>
      <c r="G36" s="259"/>
      <c r="H36" s="259"/>
      <c r="V36" s="268" t="e">
        <f>SUM(#REF!)</f>
        <v>#REF!</v>
      </c>
      <c r="W36" s="268" t="e">
        <f>SUM(#REF!)</f>
        <v>#REF!</v>
      </c>
      <c r="X36" s="268" t="e">
        <f>SUM(#REF!)</f>
        <v>#REF!</v>
      </c>
      <c r="Y36" s="268" t="e">
        <f>SUM(#REF!)</f>
        <v>#REF!</v>
      </c>
      <c r="Z36" s="268" t="e">
        <f>SUM(#REF!)</f>
        <v>#REF!</v>
      </c>
      <c r="AA36" s="268" t="e">
        <f>SUM(#REF!)</f>
        <v>#REF!</v>
      </c>
      <c r="AB36" s="268" t="e">
        <f>SUM(#REF!)</f>
        <v>#REF!</v>
      </c>
      <c r="AC36" s="268" t="e">
        <f>SUM(#REF!)</f>
        <v>#REF!</v>
      </c>
      <c r="AD36" s="268" t="e">
        <f>SUM(#REF!)</f>
        <v>#REF!</v>
      </c>
      <c r="AE36" s="268" t="e">
        <f>SUM(#REF!)</f>
        <v>#REF!</v>
      </c>
      <c r="AG36" s="259"/>
      <c r="AH36" s="263"/>
    </row>
    <row r="37" spans="1:34" s="256" customFormat="1" ht="30.75" customHeight="1" x14ac:dyDescent="0.2">
      <c r="A37" s="261"/>
      <c r="D37" s="259"/>
      <c r="E37" s="259"/>
      <c r="G37" s="259"/>
      <c r="H37" s="259"/>
      <c r="AG37" s="259"/>
      <c r="AH37" s="263"/>
    </row>
    <row r="38" spans="1:34" s="256" customFormat="1" ht="30.75" customHeight="1" x14ac:dyDescent="0.2">
      <c r="A38" s="261"/>
      <c r="D38" s="259"/>
      <c r="E38" s="259"/>
      <c r="G38" s="259"/>
      <c r="H38" s="259"/>
      <c r="AG38" s="259"/>
      <c r="AH38" s="263"/>
    </row>
    <row r="39" spans="1:34" s="256" customFormat="1" ht="30.75" customHeight="1" x14ac:dyDescent="0.2">
      <c r="A39" s="261"/>
      <c r="D39" s="259"/>
      <c r="E39" s="259"/>
      <c r="G39" s="259"/>
      <c r="H39" s="259"/>
      <c r="AG39" s="259"/>
      <c r="AH39" s="263"/>
    </row>
    <row r="40" spans="1:34" s="256" customFormat="1" ht="30.75" customHeight="1" x14ac:dyDescent="0.2">
      <c r="A40" s="261"/>
      <c r="D40" s="259"/>
      <c r="E40" s="259"/>
      <c r="G40" s="259"/>
      <c r="H40" s="259"/>
      <c r="AG40" s="259"/>
      <c r="AH40" s="263"/>
    </row>
    <row r="41" spans="1:34" s="256" customFormat="1" ht="30.75" customHeight="1" x14ac:dyDescent="0.2">
      <c r="A41" s="261"/>
      <c r="D41" s="259"/>
      <c r="E41" s="259"/>
      <c r="G41" s="259"/>
      <c r="H41" s="259"/>
      <c r="AG41" s="259"/>
      <c r="AH41" s="263"/>
    </row>
    <row r="42" spans="1:34" s="256" customFormat="1" ht="30.75" customHeight="1" x14ac:dyDescent="0.2">
      <c r="A42" s="261"/>
      <c r="D42" s="259"/>
      <c r="E42" s="259"/>
      <c r="G42" s="259"/>
      <c r="H42" s="259"/>
      <c r="AG42" s="259"/>
      <c r="AH42" s="263"/>
    </row>
    <row r="43" spans="1:34" s="256" customFormat="1" ht="30.75" customHeight="1" x14ac:dyDescent="0.2">
      <c r="A43" s="261"/>
      <c r="D43" s="259"/>
      <c r="E43" s="259"/>
      <c r="G43" s="259"/>
      <c r="H43" s="259"/>
      <c r="AG43" s="259"/>
      <c r="AH43" s="263"/>
    </row>
    <row r="44" spans="1:34" s="256" customFormat="1" ht="30.75" customHeight="1" x14ac:dyDescent="0.2">
      <c r="A44" s="261"/>
      <c r="D44" s="259"/>
      <c r="E44" s="259"/>
      <c r="G44" s="259"/>
      <c r="H44" s="259"/>
      <c r="AG44" s="259"/>
      <c r="AH44" s="263"/>
    </row>
    <row r="45" spans="1:34" s="256" customFormat="1" ht="30.75" customHeight="1" x14ac:dyDescent="0.2">
      <c r="A45" s="261"/>
      <c r="D45" s="259"/>
      <c r="E45" s="259"/>
      <c r="G45" s="259"/>
      <c r="H45" s="259"/>
      <c r="AG45" s="259"/>
      <c r="AH45" s="263"/>
    </row>
    <row r="46" spans="1:34" s="256" customFormat="1" ht="30.75" customHeight="1" x14ac:dyDescent="0.2">
      <c r="A46" s="261"/>
      <c r="D46" s="259"/>
      <c r="E46" s="259"/>
      <c r="G46" s="259"/>
      <c r="H46" s="259"/>
      <c r="AG46" s="259"/>
      <c r="AH46" s="263"/>
    </row>
    <row r="47" spans="1:34" s="256" customFormat="1" ht="30.75" customHeight="1" x14ac:dyDescent="0.2">
      <c r="A47" s="261"/>
      <c r="D47" s="259"/>
      <c r="E47" s="259"/>
      <c r="G47" s="259"/>
      <c r="H47" s="259"/>
      <c r="AG47" s="259"/>
      <c r="AH47" s="263"/>
    </row>
    <row r="48" spans="1:34" s="256" customFormat="1" ht="30.75" customHeight="1" x14ac:dyDescent="0.2">
      <c r="A48" s="261"/>
      <c r="D48" s="259"/>
      <c r="E48" s="259"/>
      <c r="G48" s="259"/>
      <c r="H48" s="259"/>
      <c r="AG48" s="259"/>
      <c r="AH48" s="263"/>
    </row>
    <row r="49" spans="1:34" s="256" customFormat="1" ht="30.75" customHeight="1" x14ac:dyDescent="0.2">
      <c r="A49" s="261"/>
      <c r="D49" s="259"/>
      <c r="E49" s="259"/>
      <c r="G49" s="259"/>
      <c r="H49" s="259"/>
      <c r="AG49" s="259"/>
      <c r="AH49" s="263"/>
    </row>
    <row r="50" spans="1:34" s="256" customFormat="1" ht="30.75" customHeight="1" x14ac:dyDescent="0.2">
      <c r="A50" s="261"/>
      <c r="D50" s="259"/>
      <c r="E50" s="259"/>
      <c r="G50" s="259"/>
      <c r="H50" s="259"/>
      <c r="AG50" s="259"/>
      <c r="AH50" s="263"/>
    </row>
    <row r="51" spans="1:34" s="256" customFormat="1" ht="30.75" customHeight="1" x14ac:dyDescent="0.2">
      <c r="A51" s="261"/>
      <c r="D51" s="259"/>
      <c r="E51" s="259"/>
      <c r="G51" s="259"/>
      <c r="H51" s="259"/>
      <c r="AG51" s="259"/>
      <c r="AH51" s="263"/>
    </row>
    <row r="52" spans="1:34" s="256" customFormat="1" ht="30.75" customHeight="1" x14ac:dyDescent="0.2">
      <c r="A52" s="261"/>
      <c r="D52" s="259"/>
      <c r="E52" s="259"/>
      <c r="G52" s="259"/>
      <c r="H52" s="259"/>
      <c r="AG52" s="259"/>
      <c r="AH52" s="263"/>
    </row>
    <row r="53" spans="1:34" s="256" customFormat="1" ht="30.75" customHeight="1" x14ac:dyDescent="0.2">
      <c r="A53" s="261"/>
      <c r="D53" s="259"/>
      <c r="E53" s="259"/>
      <c r="G53" s="259"/>
      <c r="H53" s="259"/>
      <c r="AG53" s="259"/>
      <c r="AH53" s="263"/>
    </row>
    <row r="54" spans="1:34" s="256" customFormat="1" ht="30.75" customHeight="1" x14ac:dyDescent="0.2">
      <c r="A54" s="261"/>
      <c r="D54" s="259"/>
      <c r="E54" s="259"/>
      <c r="G54" s="259"/>
      <c r="H54" s="259"/>
      <c r="AG54" s="259"/>
      <c r="AH54" s="263"/>
    </row>
    <row r="55" spans="1:34" s="256" customFormat="1" ht="30.75" customHeight="1" x14ac:dyDescent="0.2">
      <c r="A55" s="261"/>
      <c r="D55" s="259"/>
      <c r="E55" s="259"/>
      <c r="G55" s="259"/>
      <c r="H55" s="259"/>
      <c r="AG55" s="259"/>
      <c r="AH55" s="263"/>
    </row>
    <row r="56" spans="1:34" s="256" customFormat="1" ht="30.75" customHeight="1" x14ac:dyDescent="0.2">
      <c r="A56" s="261"/>
      <c r="D56" s="259"/>
      <c r="E56" s="259"/>
      <c r="G56" s="259"/>
      <c r="H56" s="259"/>
      <c r="AG56" s="259"/>
      <c r="AH56" s="263"/>
    </row>
    <row r="57" spans="1:34" s="256" customFormat="1" ht="30.75" customHeight="1" x14ac:dyDescent="0.2">
      <c r="A57" s="261"/>
      <c r="D57" s="259"/>
      <c r="E57" s="259"/>
      <c r="G57" s="259"/>
      <c r="H57" s="259"/>
      <c r="AG57" s="259"/>
      <c r="AH57" s="263"/>
    </row>
    <row r="58" spans="1:34" s="256" customFormat="1" ht="30.75" customHeight="1" x14ac:dyDescent="0.2">
      <c r="A58" s="261"/>
      <c r="D58" s="259"/>
      <c r="E58" s="259"/>
      <c r="G58" s="259"/>
      <c r="H58" s="259"/>
      <c r="AG58" s="259"/>
      <c r="AH58" s="263"/>
    </row>
    <row r="59" spans="1:34" s="256" customFormat="1" ht="30.75" customHeight="1" x14ac:dyDescent="0.2">
      <c r="A59" s="261"/>
      <c r="D59" s="259"/>
      <c r="E59" s="259"/>
      <c r="G59" s="259"/>
      <c r="H59" s="259"/>
      <c r="AG59" s="259"/>
      <c r="AH59" s="263"/>
    </row>
    <row r="60" spans="1:34" s="256" customFormat="1" ht="30.75" customHeight="1" x14ac:dyDescent="0.2">
      <c r="A60" s="261"/>
      <c r="D60" s="259"/>
      <c r="E60" s="259"/>
      <c r="G60" s="259"/>
      <c r="H60" s="259"/>
      <c r="AG60" s="259"/>
      <c r="AH60" s="263"/>
    </row>
    <row r="61" spans="1:34" s="256" customFormat="1" ht="30.75" customHeight="1" x14ac:dyDescent="0.2">
      <c r="A61" s="259"/>
      <c r="D61" s="259"/>
      <c r="E61" s="259"/>
      <c r="F61" s="269"/>
      <c r="G61" s="259"/>
      <c r="H61" s="259"/>
      <c r="AG61" s="259"/>
      <c r="AH61" s="263"/>
    </row>
    <row r="62" spans="1:34" s="256" customFormat="1" ht="30.75" customHeight="1" x14ac:dyDescent="0.2">
      <c r="A62" s="259"/>
      <c r="D62" s="259"/>
      <c r="E62" s="259"/>
      <c r="F62" s="269"/>
      <c r="G62" s="259"/>
      <c r="H62" s="259"/>
      <c r="AG62" s="259"/>
      <c r="AH62" s="263"/>
    </row>
    <row r="63" spans="1:34" s="256" customFormat="1" ht="30.75" customHeight="1" x14ac:dyDescent="0.2">
      <c r="A63" s="259"/>
      <c r="D63" s="259"/>
      <c r="E63" s="259"/>
      <c r="F63" s="269"/>
      <c r="G63" s="259"/>
      <c r="H63" s="259"/>
      <c r="AG63" s="259"/>
      <c r="AH63" s="263"/>
    </row>
    <row r="64" spans="1:34" s="256" customFormat="1" ht="30.75" customHeight="1" x14ac:dyDescent="0.2">
      <c r="A64" s="259"/>
      <c r="D64" s="259"/>
      <c r="E64" s="259"/>
      <c r="F64" s="269"/>
      <c r="G64" s="259"/>
      <c r="H64" s="259"/>
      <c r="AG64" s="259"/>
      <c r="AH64" s="263"/>
    </row>
    <row r="65" spans="1:34" s="256" customFormat="1" ht="30.75" customHeight="1" x14ac:dyDescent="0.2">
      <c r="A65" s="259"/>
      <c r="D65" s="259"/>
      <c r="E65" s="259"/>
      <c r="F65" s="269"/>
      <c r="G65" s="259"/>
      <c r="H65" s="259"/>
      <c r="AG65" s="259"/>
      <c r="AH65" s="263"/>
    </row>
    <row r="66" spans="1:34" s="256" customFormat="1" ht="30.75" customHeight="1" x14ac:dyDescent="0.2">
      <c r="A66" s="259"/>
      <c r="D66" s="259"/>
      <c r="E66" s="259"/>
      <c r="F66" s="269"/>
      <c r="G66" s="259"/>
      <c r="H66" s="259"/>
      <c r="AG66" s="259"/>
      <c r="AH66" s="263"/>
    </row>
    <row r="67" spans="1:34" s="256" customFormat="1" ht="30.75" customHeight="1" x14ac:dyDescent="0.2">
      <c r="A67" s="259"/>
      <c r="D67" s="259"/>
      <c r="E67" s="259"/>
      <c r="F67" s="269"/>
      <c r="G67" s="259"/>
      <c r="H67" s="259"/>
      <c r="AG67" s="259"/>
      <c r="AH67" s="263"/>
    </row>
    <row r="68" spans="1:34" s="256" customFormat="1" ht="30.75" customHeight="1" x14ac:dyDescent="0.2">
      <c r="A68" s="259"/>
      <c r="D68" s="259"/>
      <c r="E68" s="259"/>
      <c r="F68" s="269"/>
      <c r="G68" s="259"/>
      <c r="H68" s="259"/>
      <c r="AG68" s="259"/>
      <c r="AH68" s="263"/>
    </row>
    <row r="69" spans="1:34" s="256" customFormat="1" ht="30.75" customHeight="1" x14ac:dyDescent="0.2">
      <c r="A69" s="259"/>
      <c r="D69" s="259"/>
      <c r="E69" s="259"/>
      <c r="F69" s="269"/>
      <c r="G69" s="259"/>
      <c r="H69" s="259"/>
      <c r="AG69" s="259"/>
      <c r="AH69" s="263"/>
    </row>
    <row r="70" spans="1:34" s="256" customFormat="1" ht="30.75" customHeight="1" x14ac:dyDescent="0.2">
      <c r="A70" s="259"/>
      <c r="D70" s="259"/>
      <c r="E70" s="259"/>
      <c r="F70" s="269"/>
      <c r="G70" s="259"/>
      <c r="H70" s="259"/>
      <c r="AG70" s="259"/>
      <c r="AH70" s="263"/>
    </row>
    <row r="71" spans="1:34" s="256" customFormat="1" ht="30.75" customHeight="1" x14ac:dyDescent="0.2">
      <c r="A71" s="259"/>
      <c r="D71" s="259"/>
      <c r="E71" s="259"/>
      <c r="F71" s="269"/>
      <c r="G71" s="259"/>
      <c r="H71" s="259"/>
      <c r="AG71" s="259"/>
      <c r="AH71" s="263"/>
    </row>
    <row r="72" spans="1:34" s="256" customFormat="1" ht="30.75" customHeight="1" x14ac:dyDescent="0.2">
      <c r="A72" s="259"/>
      <c r="D72" s="259"/>
      <c r="E72" s="259"/>
      <c r="F72" s="269"/>
      <c r="G72" s="259"/>
      <c r="H72" s="259"/>
      <c r="AG72" s="259"/>
      <c r="AH72" s="263"/>
    </row>
    <row r="73" spans="1:34" s="256" customFormat="1" ht="30.75" customHeight="1" x14ac:dyDescent="0.2">
      <c r="A73" s="259"/>
      <c r="D73" s="259"/>
      <c r="E73" s="259"/>
      <c r="F73" s="269"/>
      <c r="G73" s="259"/>
      <c r="H73" s="259"/>
      <c r="AG73" s="259"/>
      <c r="AH73" s="263"/>
    </row>
    <row r="74" spans="1:34" s="256" customFormat="1" ht="30.75" customHeight="1" x14ac:dyDescent="0.2">
      <c r="A74" s="259"/>
      <c r="D74" s="259"/>
      <c r="E74" s="259"/>
      <c r="F74" s="269"/>
      <c r="G74" s="259"/>
      <c r="H74" s="259"/>
      <c r="AG74" s="259"/>
      <c r="AH74" s="263"/>
    </row>
    <row r="75" spans="1:34" s="256" customFormat="1" ht="30.75" customHeight="1" x14ac:dyDescent="0.2">
      <c r="A75" s="259"/>
      <c r="D75" s="259"/>
      <c r="E75" s="259"/>
      <c r="F75" s="269"/>
      <c r="G75" s="259"/>
      <c r="H75" s="259"/>
      <c r="AG75" s="259"/>
      <c r="AH75" s="263"/>
    </row>
    <row r="76" spans="1:34" s="256" customFormat="1" ht="30.75" customHeight="1" x14ac:dyDescent="0.2">
      <c r="A76" s="259"/>
      <c r="D76" s="259"/>
      <c r="E76" s="259"/>
      <c r="F76" s="269"/>
      <c r="G76" s="259"/>
      <c r="H76" s="259"/>
      <c r="AG76" s="259"/>
      <c r="AH76" s="263"/>
    </row>
    <row r="77" spans="1:34" s="256" customFormat="1" ht="30.75" customHeight="1" x14ac:dyDescent="0.2">
      <c r="A77" s="259"/>
      <c r="D77" s="259"/>
      <c r="E77" s="259"/>
      <c r="F77" s="269"/>
      <c r="G77" s="259"/>
      <c r="H77" s="259"/>
      <c r="AG77" s="259"/>
      <c r="AH77" s="263"/>
    </row>
    <row r="78" spans="1:34" s="256" customFormat="1" ht="30.75" customHeight="1" x14ac:dyDescent="0.2">
      <c r="A78" s="259"/>
      <c r="D78" s="259"/>
      <c r="E78" s="259"/>
      <c r="F78" s="269"/>
      <c r="G78" s="259"/>
      <c r="H78" s="259"/>
      <c r="AG78" s="259"/>
      <c r="AH78" s="263"/>
    </row>
    <row r="79" spans="1:34" s="256" customFormat="1" ht="30.75" customHeight="1" x14ac:dyDescent="0.2">
      <c r="A79" s="259"/>
      <c r="D79" s="259"/>
      <c r="E79" s="259"/>
      <c r="F79" s="269"/>
      <c r="G79" s="259"/>
      <c r="H79" s="259"/>
      <c r="AG79" s="259"/>
      <c r="AH79" s="263"/>
    </row>
    <row r="80" spans="1:34" s="256" customFormat="1" ht="30.75" customHeight="1" x14ac:dyDescent="0.2">
      <c r="A80" s="259"/>
      <c r="D80" s="259"/>
      <c r="E80" s="259"/>
      <c r="F80" s="269"/>
      <c r="G80" s="259"/>
      <c r="H80" s="259"/>
      <c r="AG80" s="259"/>
      <c r="AH80" s="263"/>
    </row>
    <row r="81" spans="1:35" s="256" customFormat="1" ht="30.75" customHeight="1" x14ac:dyDescent="0.2">
      <c r="A81" s="259"/>
      <c r="D81" s="259"/>
      <c r="E81" s="259"/>
      <c r="F81" s="269"/>
      <c r="G81" s="259"/>
      <c r="H81" s="259"/>
      <c r="AG81" s="259"/>
      <c r="AH81" s="263"/>
    </row>
    <row r="82" spans="1:35" s="256" customFormat="1" ht="30.75" customHeight="1" x14ac:dyDescent="0.2">
      <c r="A82" s="270"/>
      <c r="D82" s="259"/>
      <c r="E82" s="259"/>
      <c r="F82" s="269"/>
      <c r="G82" s="259"/>
      <c r="H82" s="259"/>
      <c r="AG82" s="259"/>
      <c r="AH82" s="263"/>
      <c r="AI82" s="271"/>
    </row>
    <row r="83" spans="1:35" s="256" customFormat="1" ht="30.75" customHeight="1" x14ac:dyDescent="0.2">
      <c r="A83" s="270"/>
      <c r="D83" s="259"/>
      <c r="E83" s="259"/>
      <c r="F83" s="269"/>
      <c r="G83" s="259"/>
      <c r="H83" s="259"/>
      <c r="AG83" s="259"/>
      <c r="AH83" s="263"/>
      <c r="AI83" s="271"/>
    </row>
    <row r="84" spans="1:35" s="256" customFormat="1" ht="30.75" customHeight="1" x14ac:dyDescent="0.2">
      <c r="A84" s="270"/>
      <c r="D84" s="259"/>
      <c r="E84" s="259"/>
      <c r="F84" s="269"/>
      <c r="G84" s="259"/>
      <c r="H84" s="259"/>
      <c r="AG84" s="259"/>
      <c r="AH84" s="263"/>
      <c r="AI84" s="271"/>
    </row>
    <row r="85" spans="1:35" s="256" customFormat="1" ht="30.75" customHeight="1" x14ac:dyDescent="0.2">
      <c r="A85" s="270"/>
      <c r="D85" s="259"/>
      <c r="E85" s="259"/>
      <c r="F85" s="269"/>
      <c r="G85" s="259"/>
      <c r="H85" s="259"/>
      <c r="AG85" s="259"/>
      <c r="AH85" s="263"/>
      <c r="AI85" s="271"/>
    </row>
    <row r="86" spans="1:35" s="256" customFormat="1" ht="30.75" customHeight="1" x14ac:dyDescent="0.2">
      <c r="A86" s="270"/>
      <c r="D86" s="259"/>
      <c r="E86" s="259"/>
      <c r="F86" s="269"/>
      <c r="G86" s="259"/>
      <c r="H86" s="259"/>
      <c r="AG86" s="259"/>
      <c r="AH86" s="263"/>
      <c r="AI86" s="271"/>
    </row>
    <row r="87" spans="1:35" s="256" customFormat="1" ht="30.75" customHeight="1" x14ac:dyDescent="0.2">
      <c r="A87" s="270"/>
      <c r="D87" s="259"/>
      <c r="E87" s="259"/>
      <c r="F87" s="269"/>
      <c r="G87" s="259"/>
      <c r="H87" s="259"/>
      <c r="AG87" s="259"/>
      <c r="AH87" s="263"/>
      <c r="AI87" s="271"/>
    </row>
    <row r="88" spans="1:35" s="256" customFormat="1" ht="30.75" customHeight="1" x14ac:dyDescent="0.2">
      <c r="A88" s="270"/>
      <c r="D88" s="259"/>
      <c r="E88" s="259"/>
      <c r="F88" s="269"/>
      <c r="G88" s="259"/>
      <c r="H88" s="259"/>
      <c r="AG88" s="259"/>
      <c r="AH88" s="263"/>
      <c r="AI88" s="271"/>
    </row>
    <row r="89" spans="1:35" s="256" customFormat="1" ht="30.75" customHeight="1" x14ac:dyDescent="0.2">
      <c r="A89" s="270"/>
      <c r="D89" s="259"/>
      <c r="E89" s="259"/>
      <c r="F89" s="269"/>
      <c r="G89" s="259"/>
      <c r="H89" s="259"/>
      <c r="AG89" s="259"/>
      <c r="AH89" s="263"/>
      <c r="AI89" s="271"/>
    </row>
    <row r="90" spans="1:35" s="256" customFormat="1" ht="30.75" customHeight="1" x14ac:dyDescent="0.2">
      <c r="A90" s="270"/>
      <c r="D90" s="259"/>
      <c r="E90" s="259"/>
      <c r="F90" s="269"/>
      <c r="G90" s="259"/>
      <c r="H90" s="259"/>
      <c r="AG90" s="259"/>
      <c r="AH90" s="263"/>
      <c r="AI90" s="271"/>
    </row>
    <row r="91" spans="1:35" s="256" customFormat="1" ht="30.75" customHeight="1" x14ac:dyDescent="0.2">
      <c r="A91" s="270"/>
      <c r="D91" s="259"/>
      <c r="E91" s="259"/>
      <c r="F91" s="269"/>
      <c r="G91" s="259"/>
      <c r="H91" s="259"/>
      <c r="AG91" s="259"/>
      <c r="AH91" s="263"/>
      <c r="AI91" s="271"/>
    </row>
    <row r="92" spans="1:35" s="256" customFormat="1" ht="30.75" customHeight="1" x14ac:dyDescent="0.2">
      <c r="A92" s="270"/>
      <c r="D92" s="259"/>
      <c r="E92" s="259"/>
      <c r="F92" s="269"/>
      <c r="G92" s="259"/>
      <c r="H92" s="259"/>
      <c r="AG92" s="259"/>
      <c r="AH92" s="263"/>
      <c r="AI92" s="271"/>
    </row>
    <row r="93" spans="1:35" s="256" customFormat="1" ht="30.75" customHeight="1" x14ac:dyDescent="0.2">
      <c r="A93" s="270"/>
      <c r="D93" s="259"/>
      <c r="E93" s="259"/>
      <c r="F93" s="269"/>
      <c r="G93" s="259"/>
      <c r="H93" s="259"/>
      <c r="AG93" s="259"/>
      <c r="AH93" s="263"/>
      <c r="AI93" s="271"/>
    </row>
    <row r="94" spans="1:35" s="256" customFormat="1" ht="30.75" customHeight="1" x14ac:dyDescent="0.2">
      <c r="A94" s="270"/>
      <c r="D94" s="259"/>
      <c r="E94" s="259"/>
      <c r="F94" s="269"/>
      <c r="G94" s="259"/>
      <c r="H94" s="259"/>
      <c r="AG94" s="259"/>
      <c r="AH94" s="263"/>
      <c r="AI94" s="271"/>
    </row>
    <row r="95" spans="1:35" s="256" customFormat="1" ht="30.75" customHeight="1" x14ac:dyDescent="0.2">
      <c r="A95" s="270"/>
      <c r="D95" s="259"/>
      <c r="E95" s="259"/>
      <c r="F95" s="269"/>
      <c r="G95" s="259"/>
      <c r="H95" s="259"/>
      <c r="AG95" s="259"/>
      <c r="AH95" s="263"/>
      <c r="AI95" s="271"/>
    </row>
    <row r="96" spans="1:35" s="256" customFormat="1" ht="30.75" customHeight="1" x14ac:dyDescent="0.2">
      <c r="A96" s="270"/>
      <c r="D96" s="259"/>
      <c r="E96" s="259"/>
      <c r="F96" s="269"/>
      <c r="G96" s="259"/>
      <c r="H96" s="259"/>
      <c r="AG96" s="259"/>
      <c r="AH96" s="263"/>
      <c r="AI96" s="271"/>
    </row>
    <row r="97" spans="1:35" s="256" customFormat="1" ht="30.75" customHeight="1" x14ac:dyDescent="0.2">
      <c r="A97" s="270"/>
      <c r="D97" s="259"/>
      <c r="E97" s="259"/>
      <c r="F97" s="269"/>
      <c r="G97" s="259"/>
      <c r="H97" s="259"/>
      <c r="AG97" s="259"/>
      <c r="AH97" s="263"/>
      <c r="AI97" s="271"/>
    </row>
    <row r="98" spans="1:35" s="256" customFormat="1" ht="30.75" customHeight="1" x14ac:dyDescent="0.2">
      <c r="A98" s="270"/>
      <c r="D98" s="259"/>
      <c r="E98" s="259"/>
      <c r="F98" s="269"/>
      <c r="G98" s="259"/>
      <c r="H98" s="259"/>
      <c r="AG98" s="259"/>
      <c r="AH98" s="263"/>
      <c r="AI98" s="271"/>
    </row>
    <row r="99" spans="1:35" s="256" customFormat="1" ht="30.75" customHeight="1" x14ac:dyDescent="0.2">
      <c r="A99" s="270"/>
      <c r="D99" s="259"/>
      <c r="E99" s="259"/>
      <c r="F99" s="269"/>
      <c r="G99" s="259"/>
      <c r="H99" s="259"/>
      <c r="AG99" s="259"/>
      <c r="AH99" s="263"/>
      <c r="AI99" s="271"/>
    </row>
    <row r="100" spans="1:35" s="256" customFormat="1" ht="30.75" customHeight="1" x14ac:dyDescent="0.2">
      <c r="A100" s="270"/>
      <c r="D100" s="259"/>
      <c r="E100" s="259"/>
      <c r="F100" s="269"/>
      <c r="G100" s="259"/>
      <c r="H100" s="259"/>
      <c r="AG100" s="259"/>
      <c r="AH100" s="263"/>
      <c r="AI100" s="271"/>
    </row>
    <row r="101" spans="1:35" s="256" customFormat="1" ht="30.75" customHeight="1" x14ac:dyDescent="0.2">
      <c r="A101" s="270"/>
      <c r="D101" s="259"/>
      <c r="E101" s="259"/>
      <c r="F101" s="269"/>
      <c r="G101" s="259"/>
      <c r="H101" s="259"/>
      <c r="AG101" s="259"/>
      <c r="AH101" s="263"/>
      <c r="AI101" s="271"/>
    </row>
    <row r="102" spans="1:35" s="256" customFormat="1" ht="30.75" customHeight="1" x14ac:dyDescent="0.2">
      <c r="A102" s="270"/>
      <c r="D102" s="259"/>
      <c r="E102" s="259"/>
      <c r="F102" s="269"/>
      <c r="G102" s="259"/>
      <c r="H102" s="259"/>
      <c r="AG102" s="259"/>
      <c r="AH102" s="263"/>
      <c r="AI102" s="271"/>
    </row>
    <row r="103" spans="1:35" s="256" customFormat="1" ht="30.75" customHeight="1" x14ac:dyDescent="0.2">
      <c r="A103" s="270"/>
      <c r="D103" s="259"/>
      <c r="E103" s="259"/>
      <c r="F103" s="269"/>
      <c r="G103" s="259"/>
      <c r="H103" s="259"/>
      <c r="AG103" s="259"/>
      <c r="AH103" s="263"/>
      <c r="AI103" s="271"/>
    </row>
    <row r="104" spans="1:35" s="256" customFormat="1" ht="30.75" customHeight="1" x14ac:dyDescent="0.2">
      <c r="A104" s="270"/>
      <c r="D104" s="259"/>
      <c r="E104" s="259"/>
      <c r="F104" s="269"/>
      <c r="G104" s="259"/>
      <c r="H104" s="259"/>
      <c r="AG104" s="259"/>
      <c r="AH104" s="263"/>
      <c r="AI104" s="271"/>
    </row>
    <row r="105" spans="1:35" s="256" customFormat="1" ht="30.75" customHeight="1" x14ac:dyDescent="0.2">
      <c r="A105" s="270"/>
      <c r="D105" s="259"/>
      <c r="E105" s="259"/>
      <c r="F105" s="269"/>
      <c r="G105" s="259"/>
      <c r="H105" s="259"/>
      <c r="AG105" s="259"/>
      <c r="AH105" s="263"/>
      <c r="AI105" s="271"/>
    </row>
    <row r="106" spans="1:35" s="256" customFormat="1" ht="30.75" customHeight="1" x14ac:dyDescent="0.2">
      <c r="A106" s="270"/>
      <c r="D106" s="259"/>
      <c r="E106" s="259"/>
      <c r="F106" s="269"/>
      <c r="G106" s="259"/>
      <c r="H106" s="259"/>
      <c r="AG106" s="259"/>
      <c r="AH106" s="263"/>
      <c r="AI106" s="271"/>
    </row>
    <row r="107" spans="1:35" s="256" customFormat="1" ht="30.75" customHeight="1" x14ac:dyDescent="0.2">
      <c r="A107" s="270"/>
      <c r="D107" s="259"/>
      <c r="E107" s="259"/>
      <c r="F107" s="269"/>
      <c r="G107" s="259"/>
      <c r="H107" s="259"/>
      <c r="AG107" s="259"/>
      <c r="AH107" s="263"/>
      <c r="AI107" s="271"/>
    </row>
    <row r="108" spans="1:35" s="256" customFormat="1" ht="30.75" customHeight="1" x14ac:dyDescent="0.2">
      <c r="A108" s="270"/>
      <c r="B108" s="272"/>
      <c r="C108" s="272"/>
      <c r="D108" s="273"/>
      <c r="E108" s="259"/>
      <c r="F108" s="269"/>
      <c r="G108" s="273"/>
      <c r="H108" s="259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G108" s="259"/>
      <c r="AH108" s="272"/>
      <c r="AI108" s="275"/>
    </row>
    <row r="109" spans="1:35" s="256" customFormat="1" ht="30.75" customHeight="1" x14ac:dyDescent="0.2">
      <c r="A109" s="270"/>
      <c r="B109" s="272"/>
      <c r="C109" s="272"/>
      <c r="D109" s="273"/>
      <c r="E109" s="259"/>
      <c r="F109" s="269"/>
      <c r="G109" s="273"/>
      <c r="H109" s="259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270"/>
      <c r="AG109" s="259"/>
      <c r="AH109" s="272"/>
      <c r="AI109" s="275"/>
    </row>
    <row r="110" spans="1:35" s="256" customFormat="1" ht="30.75" customHeight="1" x14ac:dyDescent="0.2">
      <c r="A110" s="270"/>
      <c r="B110" s="272"/>
      <c r="C110" s="272"/>
      <c r="D110" s="273"/>
      <c r="E110" s="259"/>
      <c r="F110" s="269"/>
      <c r="G110" s="273"/>
      <c r="H110" s="259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0"/>
      <c r="W110" s="270"/>
      <c r="X110" s="270"/>
      <c r="Y110" s="270"/>
      <c r="Z110" s="270"/>
      <c r="AA110" s="270"/>
      <c r="AB110" s="270"/>
      <c r="AC110" s="270"/>
      <c r="AD110" s="270"/>
      <c r="AE110" s="270"/>
      <c r="AG110" s="259"/>
      <c r="AH110" s="272"/>
      <c r="AI110" s="275"/>
    </row>
    <row r="111" spans="1:35" s="256" customFormat="1" ht="30.75" customHeight="1" x14ac:dyDescent="0.2">
      <c r="A111" s="270"/>
      <c r="B111" s="272"/>
      <c r="C111" s="272"/>
      <c r="D111" s="273"/>
      <c r="E111" s="259"/>
      <c r="F111" s="269"/>
      <c r="G111" s="273"/>
      <c r="H111" s="259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G111" s="259"/>
      <c r="AH111" s="272"/>
      <c r="AI111" s="275"/>
    </row>
    <row r="112" spans="1:35" s="256" customFormat="1" ht="30.75" customHeight="1" x14ac:dyDescent="0.2">
      <c r="A112" s="270"/>
      <c r="B112" s="272"/>
      <c r="C112" s="272"/>
      <c r="D112" s="273"/>
      <c r="E112" s="259"/>
      <c r="F112" s="269"/>
      <c r="G112" s="273"/>
      <c r="H112" s="259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270"/>
      <c r="AG112" s="259"/>
      <c r="AH112" s="272"/>
      <c r="AI112" s="275"/>
    </row>
    <row r="113" spans="1:35" s="256" customFormat="1" ht="30.75" customHeight="1" x14ac:dyDescent="0.2">
      <c r="A113" s="270"/>
      <c r="B113" s="272"/>
      <c r="C113" s="272"/>
      <c r="D113" s="273"/>
      <c r="E113" s="259"/>
      <c r="F113" s="269"/>
      <c r="G113" s="273"/>
      <c r="H113" s="259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G113" s="259"/>
      <c r="AH113" s="272"/>
      <c r="AI113" s="275"/>
    </row>
    <row r="114" spans="1:35" s="256" customFormat="1" ht="30.75" customHeight="1" x14ac:dyDescent="0.2">
      <c r="A114" s="270"/>
      <c r="B114" s="272"/>
      <c r="C114" s="272"/>
      <c r="D114" s="273"/>
      <c r="E114" s="259"/>
      <c r="F114" s="269"/>
      <c r="G114" s="273"/>
      <c r="H114" s="259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G114" s="259"/>
      <c r="AH114" s="272"/>
      <c r="AI114" s="275"/>
    </row>
    <row r="115" spans="1:35" s="256" customFormat="1" ht="30.75" customHeight="1" x14ac:dyDescent="0.2">
      <c r="A115" s="270"/>
      <c r="B115" s="272"/>
      <c r="C115" s="272"/>
      <c r="D115" s="273"/>
      <c r="E115" s="259"/>
      <c r="F115" s="269"/>
      <c r="G115" s="273"/>
      <c r="H115" s="259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270"/>
      <c r="AG115" s="259"/>
      <c r="AH115" s="272"/>
      <c r="AI115" s="275"/>
    </row>
    <row r="116" spans="1:35" s="256" customFormat="1" ht="30.75" customHeight="1" x14ac:dyDescent="0.2">
      <c r="A116" s="270"/>
      <c r="B116" s="272"/>
      <c r="C116" s="272"/>
      <c r="D116" s="273"/>
      <c r="E116" s="259"/>
      <c r="F116" s="269"/>
      <c r="G116" s="273"/>
      <c r="H116" s="259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0"/>
      <c r="W116" s="270"/>
      <c r="X116" s="270"/>
      <c r="Y116" s="270"/>
      <c r="Z116" s="270"/>
      <c r="AA116" s="270"/>
      <c r="AB116" s="270"/>
      <c r="AC116" s="270"/>
      <c r="AD116" s="270"/>
      <c r="AE116" s="270"/>
      <c r="AG116" s="259"/>
      <c r="AH116" s="272"/>
      <c r="AI116" s="275"/>
    </row>
    <row r="117" spans="1:35" s="256" customFormat="1" ht="30.75" customHeight="1" x14ac:dyDescent="0.2">
      <c r="A117" s="270"/>
      <c r="B117" s="272"/>
      <c r="C117" s="272"/>
      <c r="D117" s="273"/>
      <c r="E117" s="259"/>
      <c r="F117" s="269"/>
      <c r="G117" s="273"/>
      <c r="H117" s="259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0"/>
      <c r="W117" s="270"/>
      <c r="X117" s="270"/>
      <c r="Y117" s="270"/>
      <c r="Z117" s="270"/>
      <c r="AA117" s="270"/>
      <c r="AB117" s="270"/>
      <c r="AC117" s="270"/>
      <c r="AD117" s="270"/>
      <c r="AE117" s="270"/>
      <c r="AG117" s="259"/>
      <c r="AH117" s="272"/>
      <c r="AI117" s="275"/>
    </row>
    <row r="118" spans="1:35" s="256" customFormat="1" ht="30.75" customHeight="1" x14ac:dyDescent="0.2">
      <c r="A118" s="270"/>
      <c r="B118" s="272"/>
      <c r="C118" s="272"/>
      <c r="D118" s="273"/>
      <c r="E118" s="259"/>
      <c r="F118" s="269"/>
      <c r="G118" s="273"/>
      <c r="H118" s="259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0"/>
      <c r="W118" s="270"/>
      <c r="X118" s="270"/>
      <c r="Y118" s="270"/>
      <c r="Z118" s="270"/>
      <c r="AA118" s="270"/>
      <c r="AB118" s="270"/>
      <c r="AC118" s="270"/>
      <c r="AD118" s="270"/>
      <c r="AE118" s="270"/>
      <c r="AG118" s="259"/>
      <c r="AH118" s="272"/>
      <c r="AI118" s="275"/>
    </row>
    <row r="119" spans="1:35" s="256" customFormat="1" ht="30.75" customHeight="1" x14ac:dyDescent="0.2">
      <c r="A119" s="270"/>
      <c r="B119" s="272"/>
      <c r="C119" s="272"/>
      <c r="D119" s="273"/>
      <c r="E119" s="259"/>
      <c r="F119" s="269"/>
      <c r="G119" s="273"/>
      <c r="H119" s="259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G119" s="259"/>
      <c r="AH119" s="272"/>
      <c r="AI119" s="275"/>
    </row>
    <row r="120" spans="1:35" s="256" customFormat="1" ht="30.75" customHeight="1" x14ac:dyDescent="0.2">
      <c r="A120" s="270"/>
      <c r="B120" s="272"/>
      <c r="C120" s="272"/>
      <c r="D120" s="273"/>
      <c r="E120" s="259"/>
      <c r="F120" s="269"/>
      <c r="G120" s="273"/>
      <c r="H120" s="259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0"/>
      <c r="W120" s="270"/>
      <c r="X120" s="270"/>
      <c r="Y120" s="270"/>
      <c r="Z120" s="270"/>
      <c r="AA120" s="270"/>
      <c r="AB120" s="270"/>
      <c r="AC120" s="270"/>
      <c r="AD120" s="270"/>
      <c r="AE120" s="270"/>
      <c r="AG120" s="259"/>
      <c r="AH120" s="272"/>
      <c r="AI120" s="275"/>
    </row>
    <row r="121" spans="1:35" s="256" customFormat="1" ht="30.75" customHeight="1" x14ac:dyDescent="0.2">
      <c r="A121" s="270"/>
      <c r="B121" s="272"/>
      <c r="C121" s="272"/>
      <c r="D121" s="273"/>
      <c r="E121" s="259"/>
      <c r="F121" s="269"/>
      <c r="G121" s="273"/>
      <c r="H121" s="259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G121" s="259"/>
      <c r="AH121" s="272"/>
      <c r="AI121" s="275"/>
    </row>
    <row r="122" spans="1:35" s="256" customFormat="1" ht="30.75" customHeight="1" x14ac:dyDescent="0.2">
      <c r="A122" s="270"/>
      <c r="B122" s="272"/>
      <c r="C122" s="272"/>
      <c r="D122" s="273"/>
      <c r="E122" s="259"/>
      <c r="F122" s="269"/>
      <c r="G122" s="273"/>
      <c r="H122" s="259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G122" s="259"/>
      <c r="AH122" s="272"/>
      <c r="AI122" s="275"/>
    </row>
    <row r="123" spans="1:35" s="256" customFormat="1" ht="30.75" customHeight="1" x14ac:dyDescent="0.2">
      <c r="A123" s="270"/>
      <c r="B123" s="272"/>
      <c r="C123" s="272"/>
      <c r="D123" s="273"/>
      <c r="E123" s="259"/>
      <c r="F123" s="269"/>
      <c r="G123" s="273"/>
      <c r="H123" s="259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0"/>
      <c r="W123" s="270"/>
      <c r="X123" s="270"/>
      <c r="Y123" s="270"/>
      <c r="Z123" s="270"/>
      <c r="AA123" s="270"/>
      <c r="AB123" s="270"/>
      <c r="AC123" s="270"/>
      <c r="AD123" s="270"/>
      <c r="AE123" s="270"/>
      <c r="AG123" s="259"/>
      <c r="AH123" s="272"/>
      <c r="AI123" s="275"/>
    </row>
    <row r="124" spans="1:35" s="256" customFormat="1" ht="30.75" customHeight="1" x14ac:dyDescent="0.2">
      <c r="A124" s="270"/>
      <c r="B124" s="272"/>
      <c r="C124" s="272"/>
      <c r="D124" s="273"/>
      <c r="E124" s="259"/>
      <c r="F124" s="269"/>
      <c r="G124" s="273"/>
      <c r="H124" s="259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0"/>
      <c r="W124" s="270"/>
      <c r="X124" s="270"/>
      <c r="Y124" s="270"/>
      <c r="Z124" s="270"/>
      <c r="AA124" s="270"/>
      <c r="AB124" s="270"/>
      <c r="AC124" s="270"/>
      <c r="AD124" s="270"/>
      <c r="AE124" s="270"/>
      <c r="AG124" s="259"/>
      <c r="AH124" s="272"/>
      <c r="AI124" s="275"/>
    </row>
    <row r="125" spans="1:35" s="256" customFormat="1" ht="30.75" customHeight="1" x14ac:dyDescent="0.2">
      <c r="A125" s="270"/>
      <c r="B125" s="272"/>
      <c r="C125" s="272"/>
      <c r="D125" s="273"/>
      <c r="E125" s="259"/>
      <c r="F125" s="269"/>
      <c r="G125" s="273"/>
      <c r="H125" s="259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0"/>
      <c r="W125" s="270"/>
      <c r="X125" s="270"/>
      <c r="Y125" s="270"/>
      <c r="Z125" s="270"/>
      <c r="AA125" s="270"/>
      <c r="AB125" s="270"/>
      <c r="AC125" s="270"/>
      <c r="AD125" s="270"/>
      <c r="AE125" s="270"/>
      <c r="AG125" s="259"/>
      <c r="AH125" s="272"/>
      <c r="AI125" s="275"/>
    </row>
    <row r="126" spans="1:35" s="256" customFormat="1" ht="30.75" customHeight="1" x14ac:dyDescent="0.2">
      <c r="A126" s="270"/>
      <c r="B126" s="272"/>
      <c r="C126" s="272"/>
      <c r="D126" s="273"/>
      <c r="E126" s="259"/>
      <c r="F126" s="269"/>
      <c r="G126" s="273"/>
      <c r="H126" s="259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0"/>
      <c r="W126" s="270"/>
      <c r="X126" s="270"/>
      <c r="Y126" s="270"/>
      <c r="Z126" s="270"/>
      <c r="AA126" s="270"/>
      <c r="AB126" s="270"/>
      <c r="AC126" s="270"/>
      <c r="AD126" s="270"/>
      <c r="AE126" s="270"/>
      <c r="AG126" s="259"/>
      <c r="AH126" s="272"/>
      <c r="AI126" s="275"/>
    </row>
    <row r="127" spans="1:35" s="256" customFormat="1" ht="30.75" customHeight="1" x14ac:dyDescent="0.2">
      <c r="A127" s="270"/>
      <c r="B127" s="272"/>
      <c r="C127" s="272"/>
      <c r="D127" s="273"/>
      <c r="E127" s="259"/>
      <c r="F127" s="269"/>
      <c r="G127" s="273"/>
      <c r="H127" s="259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0"/>
      <c r="W127" s="270"/>
      <c r="X127" s="270"/>
      <c r="Y127" s="270"/>
      <c r="Z127" s="270"/>
      <c r="AA127" s="270"/>
      <c r="AB127" s="270"/>
      <c r="AC127" s="270"/>
      <c r="AD127" s="270"/>
      <c r="AE127" s="270"/>
      <c r="AG127" s="259"/>
      <c r="AH127" s="272"/>
      <c r="AI127" s="275"/>
    </row>
    <row r="128" spans="1:35" s="256" customFormat="1" ht="30.75" customHeight="1" x14ac:dyDescent="0.2">
      <c r="A128" s="270"/>
      <c r="B128" s="272"/>
      <c r="C128" s="272"/>
      <c r="D128" s="273"/>
      <c r="E128" s="259"/>
      <c r="F128" s="269"/>
      <c r="G128" s="273"/>
      <c r="H128" s="259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G128" s="259"/>
      <c r="AH128" s="272"/>
      <c r="AI128" s="275"/>
    </row>
    <row r="129" spans="1:35" s="256" customFormat="1" ht="30.75" customHeight="1" x14ac:dyDescent="0.2">
      <c r="A129" s="276"/>
      <c r="B129" s="277"/>
      <c r="C129" s="277"/>
      <c r="D129" s="278"/>
      <c r="E129" s="279"/>
      <c r="F129" s="269"/>
      <c r="G129" s="278"/>
      <c r="H129" s="279"/>
      <c r="I129" s="269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76"/>
      <c r="W129" s="276"/>
      <c r="X129" s="276"/>
      <c r="Y129" s="276"/>
      <c r="Z129" s="276"/>
      <c r="AA129" s="276"/>
      <c r="AB129" s="276"/>
      <c r="AC129" s="276"/>
      <c r="AD129" s="276"/>
      <c r="AE129" s="276"/>
      <c r="AF129" s="269"/>
      <c r="AG129" s="279"/>
      <c r="AH129" s="277"/>
      <c r="AI129" s="281"/>
    </row>
    <row r="130" spans="1:35" s="256" customFormat="1" ht="30.75" customHeight="1" x14ac:dyDescent="0.2">
      <c r="A130" s="276"/>
      <c r="B130" s="277"/>
      <c r="C130" s="277"/>
      <c r="D130" s="278"/>
      <c r="E130" s="279"/>
      <c r="F130" s="269"/>
      <c r="G130" s="278"/>
      <c r="H130" s="279"/>
      <c r="I130" s="269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76"/>
      <c r="W130" s="276"/>
      <c r="X130" s="276"/>
      <c r="Y130" s="276"/>
      <c r="Z130" s="276"/>
      <c r="AA130" s="276"/>
      <c r="AB130" s="276"/>
      <c r="AC130" s="276"/>
      <c r="AD130" s="276"/>
      <c r="AE130" s="276"/>
      <c r="AF130" s="269"/>
      <c r="AG130" s="279"/>
      <c r="AH130" s="277"/>
      <c r="AI130" s="281"/>
    </row>
    <row r="131" spans="1:35" s="256" customFormat="1" ht="30.75" customHeight="1" x14ac:dyDescent="0.2">
      <c r="A131" s="276"/>
      <c r="B131" s="277"/>
      <c r="C131" s="277"/>
      <c r="D131" s="278"/>
      <c r="E131" s="279"/>
      <c r="F131" s="269"/>
      <c r="G131" s="278"/>
      <c r="H131" s="279"/>
      <c r="I131" s="269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76"/>
      <c r="W131" s="276"/>
      <c r="X131" s="276"/>
      <c r="Y131" s="276"/>
      <c r="Z131" s="276"/>
      <c r="AA131" s="276"/>
      <c r="AB131" s="276"/>
      <c r="AC131" s="276"/>
      <c r="AD131" s="276"/>
      <c r="AE131" s="276"/>
      <c r="AF131" s="269"/>
      <c r="AG131" s="279"/>
      <c r="AH131" s="277"/>
      <c r="AI131" s="281"/>
    </row>
    <row r="132" spans="1:35" s="256" customFormat="1" ht="30.75" customHeight="1" x14ac:dyDescent="0.2">
      <c r="A132" s="276"/>
      <c r="B132" s="277"/>
      <c r="C132" s="277"/>
      <c r="D132" s="278"/>
      <c r="E132" s="279"/>
      <c r="F132" s="269"/>
      <c r="G132" s="278"/>
      <c r="H132" s="279"/>
      <c r="I132" s="269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76"/>
      <c r="W132" s="276"/>
      <c r="X132" s="276"/>
      <c r="Y132" s="276"/>
      <c r="Z132" s="276"/>
      <c r="AA132" s="276"/>
      <c r="AB132" s="276"/>
      <c r="AC132" s="276"/>
      <c r="AD132" s="276"/>
      <c r="AE132" s="276"/>
      <c r="AF132" s="269"/>
      <c r="AG132" s="279"/>
      <c r="AH132" s="277"/>
      <c r="AI132" s="281"/>
    </row>
    <row r="133" spans="1:35" s="256" customFormat="1" ht="30.75" customHeight="1" x14ac:dyDescent="0.2">
      <c r="A133" s="276"/>
      <c r="B133" s="277"/>
      <c r="C133" s="277"/>
      <c r="D133" s="278"/>
      <c r="E133" s="279"/>
      <c r="F133" s="269"/>
      <c r="G133" s="278"/>
      <c r="H133" s="279"/>
      <c r="I133" s="269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76"/>
      <c r="W133" s="276"/>
      <c r="X133" s="276"/>
      <c r="Y133" s="276"/>
      <c r="Z133" s="276"/>
      <c r="AA133" s="276"/>
      <c r="AB133" s="276"/>
      <c r="AC133" s="276"/>
      <c r="AD133" s="276"/>
      <c r="AE133" s="276"/>
      <c r="AF133" s="269"/>
      <c r="AG133" s="279"/>
      <c r="AH133" s="277"/>
      <c r="AI133" s="281"/>
    </row>
    <row r="134" spans="1:35" s="256" customFormat="1" ht="30.75" customHeight="1" x14ac:dyDescent="0.2">
      <c r="A134" s="276"/>
      <c r="B134" s="277"/>
      <c r="C134" s="277"/>
      <c r="D134" s="278"/>
      <c r="E134" s="279"/>
      <c r="F134" s="269"/>
      <c r="G134" s="278"/>
      <c r="H134" s="279"/>
      <c r="I134" s="269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76"/>
      <c r="W134" s="276"/>
      <c r="X134" s="276"/>
      <c r="Y134" s="276"/>
      <c r="Z134" s="276"/>
      <c r="AA134" s="276"/>
      <c r="AB134" s="276"/>
      <c r="AC134" s="276"/>
      <c r="AD134" s="276"/>
      <c r="AE134" s="276"/>
      <c r="AF134" s="269"/>
      <c r="AG134" s="279"/>
      <c r="AH134" s="277"/>
      <c r="AI134" s="281"/>
    </row>
    <row r="135" spans="1:35" s="256" customFormat="1" ht="30.75" customHeight="1" x14ac:dyDescent="0.2">
      <c r="A135" s="276"/>
      <c r="B135" s="277"/>
      <c r="C135" s="277"/>
      <c r="D135" s="278"/>
      <c r="E135" s="279"/>
      <c r="F135" s="269"/>
      <c r="G135" s="278"/>
      <c r="H135" s="279"/>
      <c r="I135" s="269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76"/>
      <c r="W135" s="276"/>
      <c r="X135" s="276"/>
      <c r="Y135" s="276"/>
      <c r="Z135" s="276"/>
      <c r="AA135" s="276"/>
      <c r="AB135" s="276"/>
      <c r="AC135" s="276"/>
      <c r="AD135" s="276"/>
      <c r="AE135" s="276"/>
      <c r="AF135" s="269"/>
      <c r="AG135" s="279"/>
      <c r="AH135" s="277"/>
      <c r="AI135" s="281"/>
    </row>
    <row r="136" spans="1:35" s="256" customFormat="1" ht="30.75" customHeight="1" x14ac:dyDescent="0.2">
      <c r="A136" s="276"/>
      <c r="B136" s="277"/>
      <c r="C136" s="277"/>
      <c r="D136" s="278"/>
      <c r="E136" s="279"/>
      <c r="F136" s="269"/>
      <c r="G136" s="278"/>
      <c r="H136" s="279"/>
      <c r="I136" s="269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76"/>
      <c r="W136" s="276"/>
      <c r="X136" s="276"/>
      <c r="Y136" s="276"/>
      <c r="Z136" s="276"/>
      <c r="AA136" s="276"/>
      <c r="AB136" s="276"/>
      <c r="AC136" s="276"/>
      <c r="AD136" s="276"/>
      <c r="AE136" s="276"/>
      <c r="AF136" s="269"/>
      <c r="AG136" s="279"/>
      <c r="AH136" s="277"/>
      <c r="AI136" s="281"/>
    </row>
  </sheetData>
  <mergeCells count="39">
    <mergeCell ref="I8:I9"/>
    <mergeCell ref="H8:H9"/>
    <mergeCell ref="G8:G9"/>
    <mergeCell ref="B8:B9"/>
    <mergeCell ref="A8:A9"/>
    <mergeCell ref="I10:I11"/>
    <mergeCell ref="A10:A11"/>
    <mergeCell ref="B10:B11"/>
    <mergeCell ref="D10:D11"/>
    <mergeCell ref="E10:E11"/>
    <mergeCell ref="G10:G11"/>
    <mergeCell ref="H10:H11"/>
    <mergeCell ref="AG2:AG3"/>
    <mergeCell ref="AH2:AH3"/>
    <mergeCell ref="AH5:AH7"/>
    <mergeCell ref="B5:B7"/>
    <mergeCell ref="A5:A7"/>
    <mergeCell ref="G5:G7"/>
    <mergeCell ref="H5:H7"/>
    <mergeCell ref="I5:I7"/>
    <mergeCell ref="F5:F7"/>
    <mergeCell ref="D6:D7"/>
    <mergeCell ref="E6:E7"/>
    <mergeCell ref="AI2:AI3"/>
    <mergeCell ref="P2:R2"/>
    <mergeCell ref="S2:U2"/>
    <mergeCell ref="A1:AH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O2"/>
    <mergeCell ref="AF2:AF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G5"/>
  <sheetViews>
    <sheetView tabSelected="1" zoomScale="70" zoomScaleNormal="70" workbookViewId="0">
      <selection activeCell="CF8" sqref="CF8"/>
    </sheetView>
  </sheetViews>
  <sheetFormatPr defaultColWidth="9.140625" defaultRowHeight="15" x14ac:dyDescent="0.25"/>
  <cols>
    <col min="1" max="1" width="6.42578125" style="13" customWidth="1"/>
    <col min="2" max="2" width="26.5703125" style="21" customWidth="1"/>
    <col min="3" max="3" width="29" style="21" customWidth="1"/>
    <col min="4" max="4" width="16" style="21" hidden="1" customWidth="1"/>
    <col min="5" max="5" width="25.7109375" style="21" hidden="1" customWidth="1"/>
    <col min="6" max="6" width="18.28515625" style="21" hidden="1" customWidth="1"/>
    <col min="7" max="7" width="16.85546875" style="21" customWidth="1"/>
    <col min="8" max="8" width="10" style="13" customWidth="1"/>
    <col min="9" max="9" width="8.85546875" style="22" customWidth="1"/>
    <col min="10" max="10" width="5.28515625" style="13" hidden="1" customWidth="1"/>
    <col min="11" max="15" width="5.28515625" style="33" hidden="1" customWidth="1"/>
    <col min="16" max="30" width="5.28515625" style="13" hidden="1" customWidth="1"/>
    <col min="31" max="45" width="5.28515625" style="6" hidden="1" customWidth="1"/>
    <col min="46" max="51" width="4.7109375" style="6" hidden="1" customWidth="1"/>
    <col min="52" max="62" width="5.28515625" style="6" hidden="1" customWidth="1"/>
    <col min="63" max="63" width="5.85546875" style="6" hidden="1" customWidth="1"/>
    <col min="64" max="81" width="5.28515625" style="6" hidden="1" customWidth="1"/>
    <col min="82" max="82" width="7.7109375" style="6" customWidth="1"/>
    <col min="83" max="83" width="25" style="6" customWidth="1"/>
    <col min="84" max="84" width="28.140625" style="6" customWidth="1"/>
    <col min="85" max="85" width="32.85546875" style="23" customWidth="1"/>
    <col min="86" max="86" width="6.28515625" style="13" customWidth="1"/>
    <col min="87" max="87" width="22.7109375" style="13" customWidth="1"/>
    <col min="88" max="16384" width="9.140625" style="13"/>
  </cols>
  <sheetData>
    <row r="1" spans="1:111" s="29" customFormat="1" ht="33.75" customHeight="1" thickBot="1" x14ac:dyDescent="0.3">
      <c r="A1" s="398" t="s">
        <v>1138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94"/>
      <c r="CJ1" s="94"/>
      <c r="CK1" s="94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</row>
    <row r="2" spans="1:111" ht="18" customHeight="1" thickBot="1" x14ac:dyDescent="0.3">
      <c r="A2" s="387" t="s">
        <v>16</v>
      </c>
      <c r="B2" s="392" t="s">
        <v>0</v>
      </c>
      <c r="C2" s="307" t="s">
        <v>2</v>
      </c>
      <c r="D2" s="394" t="s">
        <v>56</v>
      </c>
      <c r="E2" s="394" t="s">
        <v>547</v>
      </c>
      <c r="F2" s="394" t="s">
        <v>1</v>
      </c>
      <c r="G2" s="399" t="s">
        <v>184</v>
      </c>
      <c r="H2" s="394" t="s">
        <v>3</v>
      </c>
      <c r="I2" s="394" t="s">
        <v>17</v>
      </c>
      <c r="J2" s="396" t="s">
        <v>40</v>
      </c>
      <c r="K2" s="390"/>
      <c r="L2" s="391"/>
      <c r="M2" s="389" t="s">
        <v>41</v>
      </c>
      <c r="N2" s="390"/>
      <c r="O2" s="391"/>
      <c r="P2" s="389" t="s">
        <v>42</v>
      </c>
      <c r="Q2" s="390"/>
      <c r="R2" s="391"/>
      <c r="S2" s="389" t="s">
        <v>43</v>
      </c>
      <c r="T2" s="390"/>
      <c r="U2" s="391"/>
      <c r="V2" s="403">
        <v>37196</v>
      </c>
      <c r="W2" s="404"/>
      <c r="X2" s="405"/>
      <c r="Y2" s="403">
        <v>37561</v>
      </c>
      <c r="Z2" s="404"/>
      <c r="AA2" s="405"/>
      <c r="AB2" s="389" t="s">
        <v>33</v>
      </c>
      <c r="AC2" s="390"/>
      <c r="AD2" s="391"/>
      <c r="AE2" s="389" t="s">
        <v>34</v>
      </c>
      <c r="AF2" s="390"/>
      <c r="AG2" s="391"/>
      <c r="AH2" s="389" t="s">
        <v>35</v>
      </c>
      <c r="AI2" s="390"/>
      <c r="AJ2" s="391"/>
      <c r="AK2" s="389" t="s">
        <v>36</v>
      </c>
      <c r="AL2" s="390"/>
      <c r="AM2" s="397"/>
      <c r="AN2" s="396" t="s">
        <v>45</v>
      </c>
      <c r="AO2" s="390"/>
      <c r="AP2" s="397"/>
      <c r="AQ2" s="396" t="s">
        <v>46</v>
      </c>
      <c r="AR2" s="390"/>
      <c r="AS2" s="397"/>
      <c r="AT2" s="396" t="s">
        <v>47</v>
      </c>
      <c r="AU2" s="390"/>
      <c r="AV2" s="397"/>
      <c r="AW2" s="396" t="s">
        <v>48</v>
      </c>
      <c r="AX2" s="390"/>
      <c r="AY2" s="397"/>
      <c r="AZ2" s="396" t="s">
        <v>113</v>
      </c>
      <c r="BA2" s="390"/>
      <c r="BB2" s="397"/>
      <c r="BC2" s="396" t="s">
        <v>122</v>
      </c>
      <c r="BD2" s="390"/>
      <c r="BE2" s="397"/>
      <c r="BF2" s="396" t="s">
        <v>123</v>
      </c>
      <c r="BG2" s="390"/>
      <c r="BH2" s="397"/>
      <c r="BI2" s="396" t="s">
        <v>52</v>
      </c>
      <c r="BJ2" s="390"/>
      <c r="BK2" s="397"/>
      <c r="BL2" s="396" t="s">
        <v>54</v>
      </c>
      <c r="BM2" s="390"/>
      <c r="BN2" s="397"/>
      <c r="BO2" s="396" t="s">
        <v>53</v>
      </c>
      <c r="BP2" s="390"/>
      <c r="BQ2" s="397"/>
      <c r="BR2" s="396" t="s">
        <v>126</v>
      </c>
      <c r="BS2" s="390"/>
      <c r="BT2" s="397"/>
      <c r="BU2" s="396" t="s">
        <v>125</v>
      </c>
      <c r="BV2" s="390"/>
      <c r="BW2" s="397"/>
      <c r="BX2" s="396" t="s">
        <v>127</v>
      </c>
      <c r="BY2" s="390"/>
      <c r="BZ2" s="397"/>
      <c r="CA2" s="396" t="s">
        <v>128</v>
      </c>
      <c r="CB2" s="390"/>
      <c r="CC2" s="397"/>
      <c r="CD2" s="394" t="s">
        <v>28</v>
      </c>
      <c r="CE2" s="387" t="s">
        <v>10</v>
      </c>
      <c r="CF2" s="387" t="s">
        <v>18</v>
      </c>
      <c r="CG2" s="387" t="s">
        <v>14</v>
      </c>
      <c r="CH2" s="401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</row>
    <row r="3" spans="1:111" ht="18.75" customHeight="1" thickBot="1" x14ac:dyDescent="0.3">
      <c r="A3" s="388"/>
      <c r="B3" s="393"/>
      <c r="C3" s="79" t="s">
        <v>11</v>
      </c>
      <c r="D3" s="395"/>
      <c r="E3" s="395"/>
      <c r="F3" s="395"/>
      <c r="G3" s="400"/>
      <c r="H3" s="395"/>
      <c r="I3" s="395"/>
      <c r="J3" s="102" t="s">
        <v>12</v>
      </c>
      <c r="K3" s="103" t="s">
        <v>13</v>
      </c>
      <c r="L3" s="103" t="s">
        <v>32</v>
      </c>
      <c r="M3" s="103" t="s">
        <v>12</v>
      </c>
      <c r="N3" s="103" t="s">
        <v>13</v>
      </c>
      <c r="O3" s="103" t="s">
        <v>32</v>
      </c>
      <c r="P3" s="103" t="s">
        <v>12</v>
      </c>
      <c r="Q3" s="103" t="s">
        <v>13</v>
      </c>
      <c r="R3" s="103" t="s">
        <v>32</v>
      </c>
      <c r="S3" s="103" t="s">
        <v>12</v>
      </c>
      <c r="T3" s="103" t="s">
        <v>13</v>
      </c>
      <c r="U3" s="103" t="s">
        <v>32</v>
      </c>
      <c r="V3" s="103" t="s">
        <v>12</v>
      </c>
      <c r="W3" s="103" t="s">
        <v>13</v>
      </c>
      <c r="X3" s="103" t="s">
        <v>32</v>
      </c>
      <c r="Y3" s="103" t="s">
        <v>12</v>
      </c>
      <c r="Z3" s="103" t="s">
        <v>13</v>
      </c>
      <c r="AA3" s="103" t="s">
        <v>32</v>
      </c>
      <c r="AB3" s="103" t="s">
        <v>12</v>
      </c>
      <c r="AC3" s="103" t="s">
        <v>13</v>
      </c>
      <c r="AD3" s="103" t="s">
        <v>32</v>
      </c>
      <c r="AE3" s="103" t="s">
        <v>12</v>
      </c>
      <c r="AF3" s="103" t="s">
        <v>13</v>
      </c>
      <c r="AG3" s="103" t="s">
        <v>32</v>
      </c>
      <c r="AH3" s="103" t="s">
        <v>12</v>
      </c>
      <c r="AI3" s="103" t="s">
        <v>13</v>
      </c>
      <c r="AJ3" s="103" t="s">
        <v>32</v>
      </c>
      <c r="AK3" s="103" t="s">
        <v>12</v>
      </c>
      <c r="AL3" s="103" t="s">
        <v>13</v>
      </c>
      <c r="AM3" s="79" t="s">
        <v>32</v>
      </c>
      <c r="AN3" s="314" t="s">
        <v>12</v>
      </c>
      <c r="AO3" s="306" t="s">
        <v>13</v>
      </c>
      <c r="AP3" s="306" t="s">
        <v>32</v>
      </c>
      <c r="AQ3" s="306" t="s">
        <v>12</v>
      </c>
      <c r="AR3" s="306" t="s">
        <v>13</v>
      </c>
      <c r="AS3" s="308" t="s">
        <v>32</v>
      </c>
      <c r="AT3" s="58" t="s">
        <v>12</v>
      </c>
      <c r="AU3" s="102" t="s">
        <v>13</v>
      </c>
      <c r="AV3" s="49" t="s">
        <v>32</v>
      </c>
      <c r="AW3" s="314" t="s">
        <v>12</v>
      </c>
      <c r="AX3" s="306" t="s">
        <v>13</v>
      </c>
      <c r="AY3" s="308" t="s">
        <v>32</v>
      </c>
      <c r="AZ3" s="306" t="s">
        <v>12</v>
      </c>
      <c r="BA3" s="306" t="s">
        <v>13</v>
      </c>
      <c r="BB3" s="306" t="s">
        <v>32</v>
      </c>
      <c r="BC3" s="306" t="s">
        <v>12</v>
      </c>
      <c r="BD3" s="306" t="s">
        <v>13</v>
      </c>
      <c r="BE3" s="308" t="s">
        <v>32</v>
      </c>
      <c r="BF3" s="386" t="s">
        <v>12</v>
      </c>
      <c r="BG3" s="306" t="s">
        <v>13</v>
      </c>
      <c r="BH3" s="308" t="s">
        <v>32</v>
      </c>
      <c r="BI3" s="306" t="s">
        <v>12</v>
      </c>
      <c r="BJ3" s="306" t="s">
        <v>13</v>
      </c>
      <c r="BK3" s="308" t="s">
        <v>32</v>
      </c>
      <c r="BL3" s="61" t="s">
        <v>12</v>
      </c>
      <c r="BM3" s="306" t="s">
        <v>13</v>
      </c>
      <c r="BN3" s="308" t="s">
        <v>32</v>
      </c>
      <c r="BO3" s="306" t="s">
        <v>12</v>
      </c>
      <c r="BP3" s="306" t="s">
        <v>13</v>
      </c>
      <c r="BQ3" s="308" t="s">
        <v>32</v>
      </c>
      <c r="BR3" s="306" t="s">
        <v>12</v>
      </c>
      <c r="BS3" s="306" t="s">
        <v>13</v>
      </c>
      <c r="BT3" s="308" t="s">
        <v>32</v>
      </c>
      <c r="BU3" s="306" t="s">
        <v>12</v>
      </c>
      <c r="BV3" s="306" t="s">
        <v>13</v>
      </c>
      <c r="BW3" s="308" t="s">
        <v>32</v>
      </c>
      <c r="BX3" s="306" t="s">
        <v>12</v>
      </c>
      <c r="BY3" s="306" t="s">
        <v>13</v>
      </c>
      <c r="BZ3" s="308" t="s">
        <v>32</v>
      </c>
      <c r="CA3" s="306" t="s">
        <v>12</v>
      </c>
      <c r="CB3" s="306" t="s">
        <v>13</v>
      </c>
      <c r="CC3" s="308" t="s">
        <v>32</v>
      </c>
      <c r="CD3" s="395"/>
      <c r="CE3" s="388"/>
      <c r="CF3" s="388"/>
      <c r="CG3" s="388"/>
      <c r="CH3" s="402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</row>
    <row r="4" spans="1:111" ht="87" customHeight="1" x14ac:dyDescent="0.25">
      <c r="A4" s="63">
        <f t="shared" ref="A4" si="0">ROW()-3</f>
        <v>1</v>
      </c>
      <c r="B4" s="299" t="s">
        <v>550</v>
      </c>
      <c r="C4" s="134" t="s">
        <v>551</v>
      </c>
      <c r="D4" s="134"/>
      <c r="E4" s="134"/>
      <c r="F4" s="134"/>
      <c r="G4" s="134"/>
      <c r="H4" s="134" t="s">
        <v>15</v>
      </c>
      <c r="I4" s="134">
        <v>200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14"/>
      <c r="BA4" s="5"/>
      <c r="BB4" s="5"/>
      <c r="BC4" s="14"/>
      <c r="BD4" s="14"/>
      <c r="BE4" s="14"/>
      <c r="BF4" s="38"/>
      <c r="BG4" s="14"/>
      <c r="BH4" s="5"/>
      <c r="BI4" s="14" t="s">
        <v>31</v>
      </c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35">
        <f t="shared" ref="CD4" si="1">COUNTA(J4:CC4)</f>
        <v>1</v>
      </c>
      <c r="CE4" s="28"/>
      <c r="CF4" s="28"/>
      <c r="CG4" s="20" t="s">
        <v>1135</v>
      </c>
      <c r="CH4" s="27" t="str">
        <f t="shared" ref="CH4" si="2">IF(CD4&lt;=0,"0",IF(CD4=1,"1",IF(CD4=2,"2",IF(CD4=3,"3",IF(CD4&gt;=4,"4")))))</f>
        <v>1</v>
      </c>
      <c r="CI4" s="224" t="s">
        <v>960</v>
      </c>
    </row>
    <row r="5" spans="1:111" ht="50.45" customHeight="1" x14ac:dyDescent="0.25"/>
  </sheetData>
  <mergeCells count="38">
    <mergeCell ref="AB2:AD2"/>
    <mergeCell ref="A1:CH1"/>
    <mergeCell ref="A2:A3"/>
    <mergeCell ref="B2:B3"/>
    <mergeCell ref="D2:D3"/>
    <mergeCell ref="E2:E3"/>
    <mergeCell ref="F2:F3"/>
    <mergeCell ref="G2:G3"/>
    <mergeCell ref="H2:H3"/>
    <mergeCell ref="I2:I3"/>
    <mergeCell ref="J2:L2"/>
    <mergeCell ref="M2:O2"/>
    <mergeCell ref="P2:R2"/>
    <mergeCell ref="S2:U2"/>
    <mergeCell ref="V2:X2"/>
    <mergeCell ref="Y2:AA2"/>
    <mergeCell ref="BL2:BN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CE2:CE3"/>
    <mergeCell ref="CF2:CF3"/>
    <mergeCell ref="CG2:CG3"/>
    <mergeCell ref="CH2:CH3"/>
    <mergeCell ref="BO2:BQ2"/>
    <mergeCell ref="BR2:BT2"/>
    <mergeCell ref="BU2:BW2"/>
    <mergeCell ref="BX2:BZ2"/>
    <mergeCell ref="CA2:CC2"/>
    <mergeCell ref="CD2:C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6"/>
  <sheetViews>
    <sheetView zoomScale="85" zoomScaleNormal="85" workbookViewId="0">
      <selection activeCell="F14" sqref="F14:F15"/>
    </sheetView>
  </sheetViews>
  <sheetFormatPr defaultRowHeight="15" x14ac:dyDescent="0.25"/>
  <cols>
    <col min="1" max="1" width="10.28515625" customWidth="1"/>
    <col min="2" max="2" width="34.140625" customWidth="1"/>
    <col min="3" max="3" width="12.7109375" customWidth="1"/>
    <col min="4" max="4" width="18" customWidth="1"/>
    <col min="5" max="5" width="22.5703125" customWidth="1"/>
    <col min="6" max="6" width="15.7109375" customWidth="1"/>
    <col min="7" max="7" width="22.7109375" customWidth="1"/>
    <col min="257" max="257" width="10.28515625" customWidth="1"/>
    <col min="258" max="258" width="22.5703125" customWidth="1"/>
    <col min="259" max="259" width="17.42578125" customWidth="1"/>
    <col min="260" max="260" width="18" customWidth="1"/>
    <col min="261" max="261" width="42.85546875" customWidth="1"/>
    <col min="262" max="262" width="15.7109375" customWidth="1"/>
    <col min="263" max="263" width="16.7109375" customWidth="1"/>
    <col min="513" max="513" width="10.28515625" customWidth="1"/>
    <col min="514" max="514" width="22.5703125" customWidth="1"/>
    <col min="515" max="515" width="17.42578125" customWidth="1"/>
    <col min="516" max="516" width="18" customWidth="1"/>
    <col min="517" max="517" width="42.85546875" customWidth="1"/>
    <col min="518" max="518" width="15.7109375" customWidth="1"/>
    <col min="519" max="519" width="16.7109375" customWidth="1"/>
    <col min="769" max="769" width="10.28515625" customWidth="1"/>
    <col min="770" max="770" width="22.5703125" customWidth="1"/>
    <col min="771" max="771" width="17.42578125" customWidth="1"/>
    <col min="772" max="772" width="18" customWidth="1"/>
    <col min="773" max="773" width="42.85546875" customWidth="1"/>
    <col min="774" max="774" width="15.7109375" customWidth="1"/>
    <col min="775" max="775" width="16.7109375" customWidth="1"/>
    <col min="1025" max="1025" width="10.28515625" customWidth="1"/>
    <col min="1026" max="1026" width="22.5703125" customWidth="1"/>
    <col min="1027" max="1027" width="17.42578125" customWidth="1"/>
    <col min="1028" max="1028" width="18" customWidth="1"/>
    <col min="1029" max="1029" width="42.85546875" customWidth="1"/>
    <col min="1030" max="1030" width="15.7109375" customWidth="1"/>
    <col min="1031" max="1031" width="16.7109375" customWidth="1"/>
    <col min="1281" max="1281" width="10.28515625" customWidth="1"/>
    <col min="1282" max="1282" width="22.5703125" customWidth="1"/>
    <col min="1283" max="1283" width="17.42578125" customWidth="1"/>
    <col min="1284" max="1284" width="18" customWidth="1"/>
    <col min="1285" max="1285" width="42.85546875" customWidth="1"/>
    <col min="1286" max="1286" width="15.7109375" customWidth="1"/>
    <col min="1287" max="1287" width="16.7109375" customWidth="1"/>
    <col min="1537" max="1537" width="10.28515625" customWidth="1"/>
    <col min="1538" max="1538" width="22.5703125" customWidth="1"/>
    <col min="1539" max="1539" width="17.42578125" customWidth="1"/>
    <col min="1540" max="1540" width="18" customWidth="1"/>
    <col min="1541" max="1541" width="42.85546875" customWidth="1"/>
    <col min="1542" max="1542" width="15.7109375" customWidth="1"/>
    <col min="1543" max="1543" width="16.7109375" customWidth="1"/>
    <col min="1793" max="1793" width="10.28515625" customWidth="1"/>
    <col min="1794" max="1794" width="22.5703125" customWidth="1"/>
    <col min="1795" max="1795" width="17.42578125" customWidth="1"/>
    <col min="1796" max="1796" width="18" customWidth="1"/>
    <col min="1797" max="1797" width="42.85546875" customWidth="1"/>
    <col min="1798" max="1798" width="15.7109375" customWidth="1"/>
    <col min="1799" max="1799" width="16.7109375" customWidth="1"/>
    <col min="2049" max="2049" width="10.28515625" customWidth="1"/>
    <col min="2050" max="2050" width="22.5703125" customWidth="1"/>
    <col min="2051" max="2051" width="17.42578125" customWidth="1"/>
    <col min="2052" max="2052" width="18" customWidth="1"/>
    <col min="2053" max="2053" width="42.85546875" customWidth="1"/>
    <col min="2054" max="2054" width="15.7109375" customWidth="1"/>
    <col min="2055" max="2055" width="16.7109375" customWidth="1"/>
    <col min="2305" max="2305" width="10.28515625" customWidth="1"/>
    <col min="2306" max="2306" width="22.5703125" customWidth="1"/>
    <col min="2307" max="2307" width="17.42578125" customWidth="1"/>
    <col min="2308" max="2308" width="18" customWidth="1"/>
    <col min="2309" max="2309" width="42.85546875" customWidth="1"/>
    <col min="2310" max="2310" width="15.7109375" customWidth="1"/>
    <col min="2311" max="2311" width="16.7109375" customWidth="1"/>
    <col min="2561" max="2561" width="10.28515625" customWidth="1"/>
    <col min="2562" max="2562" width="22.5703125" customWidth="1"/>
    <col min="2563" max="2563" width="17.42578125" customWidth="1"/>
    <col min="2564" max="2564" width="18" customWidth="1"/>
    <col min="2565" max="2565" width="42.85546875" customWidth="1"/>
    <col min="2566" max="2566" width="15.7109375" customWidth="1"/>
    <col min="2567" max="2567" width="16.7109375" customWidth="1"/>
    <col min="2817" max="2817" width="10.28515625" customWidth="1"/>
    <col min="2818" max="2818" width="22.5703125" customWidth="1"/>
    <col min="2819" max="2819" width="17.42578125" customWidth="1"/>
    <col min="2820" max="2820" width="18" customWidth="1"/>
    <col min="2821" max="2821" width="42.85546875" customWidth="1"/>
    <col min="2822" max="2822" width="15.7109375" customWidth="1"/>
    <col min="2823" max="2823" width="16.7109375" customWidth="1"/>
    <col min="3073" max="3073" width="10.28515625" customWidth="1"/>
    <col min="3074" max="3074" width="22.5703125" customWidth="1"/>
    <col min="3075" max="3075" width="17.42578125" customWidth="1"/>
    <col min="3076" max="3076" width="18" customWidth="1"/>
    <col min="3077" max="3077" width="42.85546875" customWidth="1"/>
    <col min="3078" max="3078" width="15.7109375" customWidth="1"/>
    <col min="3079" max="3079" width="16.7109375" customWidth="1"/>
    <col min="3329" max="3329" width="10.28515625" customWidth="1"/>
    <col min="3330" max="3330" width="22.5703125" customWidth="1"/>
    <col min="3331" max="3331" width="17.42578125" customWidth="1"/>
    <col min="3332" max="3332" width="18" customWidth="1"/>
    <col min="3333" max="3333" width="42.85546875" customWidth="1"/>
    <col min="3334" max="3334" width="15.7109375" customWidth="1"/>
    <col min="3335" max="3335" width="16.7109375" customWidth="1"/>
    <col min="3585" max="3585" width="10.28515625" customWidth="1"/>
    <col min="3586" max="3586" width="22.5703125" customWidth="1"/>
    <col min="3587" max="3587" width="17.42578125" customWidth="1"/>
    <col min="3588" max="3588" width="18" customWidth="1"/>
    <col min="3589" max="3589" width="42.85546875" customWidth="1"/>
    <col min="3590" max="3590" width="15.7109375" customWidth="1"/>
    <col min="3591" max="3591" width="16.7109375" customWidth="1"/>
    <col min="3841" max="3841" width="10.28515625" customWidth="1"/>
    <col min="3842" max="3842" width="22.5703125" customWidth="1"/>
    <col min="3843" max="3843" width="17.42578125" customWidth="1"/>
    <col min="3844" max="3844" width="18" customWidth="1"/>
    <col min="3845" max="3845" width="42.85546875" customWidth="1"/>
    <col min="3846" max="3846" width="15.7109375" customWidth="1"/>
    <col min="3847" max="3847" width="16.7109375" customWidth="1"/>
    <col min="4097" max="4097" width="10.28515625" customWidth="1"/>
    <col min="4098" max="4098" width="22.5703125" customWidth="1"/>
    <col min="4099" max="4099" width="17.42578125" customWidth="1"/>
    <col min="4100" max="4100" width="18" customWidth="1"/>
    <col min="4101" max="4101" width="42.85546875" customWidth="1"/>
    <col min="4102" max="4102" width="15.7109375" customWidth="1"/>
    <col min="4103" max="4103" width="16.7109375" customWidth="1"/>
    <col min="4353" max="4353" width="10.28515625" customWidth="1"/>
    <col min="4354" max="4354" width="22.5703125" customWidth="1"/>
    <col min="4355" max="4355" width="17.42578125" customWidth="1"/>
    <col min="4356" max="4356" width="18" customWidth="1"/>
    <col min="4357" max="4357" width="42.85546875" customWidth="1"/>
    <col min="4358" max="4358" width="15.7109375" customWidth="1"/>
    <col min="4359" max="4359" width="16.7109375" customWidth="1"/>
    <col min="4609" max="4609" width="10.28515625" customWidth="1"/>
    <col min="4610" max="4610" width="22.5703125" customWidth="1"/>
    <col min="4611" max="4611" width="17.42578125" customWidth="1"/>
    <col min="4612" max="4612" width="18" customWidth="1"/>
    <col min="4613" max="4613" width="42.85546875" customWidth="1"/>
    <col min="4614" max="4614" width="15.7109375" customWidth="1"/>
    <col min="4615" max="4615" width="16.7109375" customWidth="1"/>
    <col min="4865" max="4865" width="10.28515625" customWidth="1"/>
    <col min="4866" max="4866" width="22.5703125" customWidth="1"/>
    <col min="4867" max="4867" width="17.42578125" customWidth="1"/>
    <col min="4868" max="4868" width="18" customWidth="1"/>
    <col min="4869" max="4869" width="42.85546875" customWidth="1"/>
    <col min="4870" max="4870" width="15.7109375" customWidth="1"/>
    <col min="4871" max="4871" width="16.7109375" customWidth="1"/>
    <col min="5121" max="5121" width="10.28515625" customWidth="1"/>
    <col min="5122" max="5122" width="22.5703125" customWidth="1"/>
    <col min="5123" max="5123" width="17.42578125" customWidth="1"/>
    <col min="5124" max="5124" width="18" customWidth="1"/>
    <col min="5125" max="5125" width="42.85546875" customWidth="1"/>
    <col min="5126" max="5126" width="15.7109375" customWidth="1"/>
    <col min="5127" max="5127" width="16.7109375" customWidth="1"/>
    <col min="5377" max="5377" width="10.28515625" customWidth="1"/>
    <col min="5378" max="5378" width="22.5703125" customWidth="1"/>
    <col min="5379" max="5379" width="17.42578125" customWidth="1"/>
    <col min="5380" max="5380" width="18" customWidth="1"/>
    <col min="5381" max="5381" width="42.85546875" customWidth="1"/>
    <col min="5382" max="5382" width="15.7109375" customWidth="1"/>
    <col min="5383" max="5383" width="16.7109375" customWidth="1"/>
    <col min="5633" max="5633" width="10.28515625" customWidth="1"/>
    <col min="5634" max="5634" width="22.5703125" customWidth="1"/>
    <col min="5635" max="5635" width="17.42578125" customWidth="1"/>
    <col min="5636" max="5636" width="18" customWidth="1"/>
    <col min="5637" max="5637" width="42.85546875" customWidth="1"/>
    <col min="5638" max="5638" width="15.7109375" customWidth="1"/>
    <col min="5639" max="5639" width="16.7109375" customWidth="1"/>
    <col min="5889" max="5889" width="10.28515625" customWidth="1"/>
    <col min="5890" max="5890" width="22.5703125" customWidth="1"/>
    <col min="5891" max="5891" width="17.42578125" customWidth="1"/>
    <col min="5892" max="5892" width="18" customWidth="1"/>
    <col min="5893" max="5893" width="42.85546875" customWidth="1"/>
    <col min="5894" max="5894" width="15.7109375" customWidth="1"/>
    <col min="5895" max="5895" width="16.7109375" customWidth="1"/>
    <col min="6145" max="6145" width="10.28515625" customWidth="1"/>
    <col min="6146" max="6146" width="22.5703125" customWidth="1"/>
    <col min="6147" max="6147" width="17.42578125" customWidth="1"/>
    <col min="6148" max="6148" width="18" customWidth="1"/>
    <col min="6149" max="6149" width="42.85546875" customWidth="1"/>
    <col min="6150" max="6150" width="15.7109375" customWidth="1"/>
    <col min="6151" max="6151" width="16.7109375" customWidth="1"/>
    <col min="6401" max="6401" width="10.28515625" customWidth="1"/>
    <col min="6402" max="6402" width="22.5703125" customWidth="1"/>
    <col min="6403" max="6403" width="17.42578125" customWidth="1"/>
    <col min="6404" max="6404" width="18" customWidth="1"/>
    <col min="6405" max="6405" width="42.85546875" customWidth="1"/>
    <col min="6406" max="6406" width="15.7109375" customWidth="1"/>
    <col min="6407" max="6407" width="16.7109375" customWidth="1"/>
    <col min="6657" max="6657" width="10.28515625" customWidth="1"/>
    <col min="6658" max="6658" width="22.5703125" customWidth="1"/>
    <col min="6659" max="6659" width="17.42578125" customWidth="1"/>
    <col min="6660" max="6660" width="18" customWidth="1"/>
    <col min="6661" max="6661" width="42.85546875" customWidth="1"/>
    <col min="6662" max="6662" width="15.7109375" customWidth="1"/>
    <col min="6663" max="6663" width="16.7109375" customWidth="1"/>
    <col min="6913" max="6913" width="10.28515625" customWidth="1"/>
    <col min="6914" max="6914" width="22.5703125" customWidth="1"/>
    <col min="6915" max="6915" width="17.42578125" customWidth="1"/>
    <col min="6916" max="6916" width="18" customWidth="1"/>
    <col min="6917" max="6917" width="42.85546875" customWidth="1"/>
    <col min="6918" max="6918" width="15.7109375" customWidth="1"/>
    <col min="6919" max="6919" width="16.7109375" customWidth="1"/>
    <col min="7169" max="7169" width="10.28515625" customWidth="1"/>
    <col min="7170" max="7170" width="22.5703125" customWidth="1"/>
    <col min="7171" max="7171" width="17.42578125" customWidth="1"/>
    <col min="7172" max="7172" width="18" customWidth="1"/>
    <col min="7173" max="7173" width="42.85546875" customWidth="1"/>
    <col min="7174" max="7174" width="15.7109375" customWidth="1"/>
    <col min="7175" max="7175" width="16.7109375" customWidth="1"/>
    <col min="7425" max="7425" width="10.28515625" customWidth="1"/>
    <col min="7426" max="7426" width="22.5703125" customWidth="1"/>
    <col min="7427" max="7427" width="17.42578125" customWidth="1"/>
    <col min="7428" max="7428" width="18" customWidth="1"/>
    <col min="7429" max="7429" width="42.85546875" customWidth="1"/>
    <col min="7430" max="7430" width="15.7109375" customWidth="1"/>
    <col min="7431" max="7431" width="16.7109375" customWidth="1"/>
    <col min="7681" max="7681" width="10.28515625" customWidth="1"/>
    <col min="7682" max="7682" width="22.5703125" customWidth="1"/>
    <col min="7683" max="7683" width="17.42578125" customWidth="1"/>
    <col min="7684" max="7684" width="18" customWidth="1"/>
    <col min="7685" max="7685" width="42.85546875" customWidth="1"/>
    <col min="7686" max="7686" width="15.7109375" customWidth="1"/>
    <col min="7687" max="7687" width="16.7109375" customWidth="1"/>
    <col min="7937" max="7937" width="10.28515625" customWidth="1"/>
    <col min="7938" max="7938" width="22.5703125" customWidth="1"/>
    <col min="7939" max="7939" width="17.42578125" customWidth="1"/>
    <col min="7940" max="7940" width="18" customWidth="1"/>
    <col min="7941" max="7941" width="42.85546875" customWidth="1"/>
    <col min="7942" max="7942" width="15.7109375" customWidth="1"/>
    <col min="7943" max="7943" width="16.7109375" customWidth="1"/>
    <col min="8193" max="8193" width="10.28515625" customWidth="1"/>
    <col min="8194" max="8194" width="22.5703125" customWidth="1"/>
    <col min="8195" max="8195" width="17.42578125" customWidth="1"/>
    <col min="8196" max="8196" width="18" customWidth="1"/>
    <col min="8197" max="8197" width="42.85546875" customWidth="1"/>
    <col min="8198" max="8198" width="15.7109375" customWidth="1"/>
    <col min="8199" max="8199" width="16.7109375" customWidth="1"/>
    <col min="8449" max="8449" width="10.28515625" customWidth="1"/>
    <col min="8450" max="8450" width="22.5703125" customWidth="1"/>
    <col min="8451" max="8451" width="17.42578125" customWidth="1"/>
    <col min="8452" max="8452" width="18" customWidth="1"/>
    <col min="8453" max="8453" width="42.85546875" customWidth="1"/>
    <col min="8454" max="8454" width="15.7109375" customWidth="1"/>
    <col min="8455" max="8455" width="16.7109375" customWidth="1"/>
    <col min="8705" max="8705" width="10.28515625" customWidth="1"/>
    <col min="8706" max="8706" width="22.5703125" customWidth="1"/>
    <col min="8707" max="8707" width="17.42578125" customWidth="1"/>
    <col min="8708" max="8708" width="18" customWidth="1"/>
    <col min="8709" max="8709" width="42.85546875" customWidth="1"/>
    <col min="8710" max="8710" width="15.7109375" customWidth="1"/>
    <col min="8711" max="8711" width="16.7109375" customWidth="1"/>
    <col min="8961" max="8961" width="10.28515625" customWidth="1"/>
    <col min="8962" max="8962" width="22.5703125" customWidth="1"/>
    <col min="8963" max="8963" width="17.42578125" customWidth="1"/>
    <col min="8964" max="8964" width="18" customWidth="1"/>
    <col min="8965" max="8965" width="42.85546875" customWidth="1"/>
    <col min="8966" max="8966" width="15.7109375" customWidth="1"/>
    <col min="8967" max="8967" width="16.7109375" customWidth="1"/>
    <col min="9217" max="9217" width="10.28515625" customWidth="1"/>
    <col min="9218" max="9218" width="22.5703125" customWidth="1"/>
    <col min="9219" max="9219" width="17.42578125" customWidth="1"/>
    <col min="9220" max="9220" width="18" customWidth="1"/>
    <col min="9221" max="9221" width="42.85546875" customWidth="1"/>
    <col min="9222" max="9222" width="15.7109375" customWidth="1"/>
    <col min="9223" max="9223" width="16.7109375" customWidth="1"/>
    <col min="9473" max="9473" width="10.28515625" customWidth="1"/>
    <col min="9474" max="9474" width="22.5703125" customWidth="1"/>
    <col min="9475" max="9475" width="17.42578125" customWidth="1"/>
    <col min="9476" max="9476" width="18" customWidth="1"/>
    <col min="9477" max="9477" width="42.85546875" customWidth="1"/>
    <col min="9478" max="9478" width="15.7109375" customWidth="1"/>
    <col min="9479" max="9479" width="16.7109375" customWidth="1"/>
    <col min="9729" max="9729" width="10.28515625" customWidth="1"/>
    <col min="9730" max="9730" width="22.5703125" customWidth="1"/>
    <col min="9731" max="9731" width="17.42578125" customWidth="1"/>
    <col min="9732" max="9732" width="18" customWidth="1"/>
    <col min="9733" max="9733" width="42.85546875" customWidth="1"/>
    <col min="9734" max="9734" width="15.7109375" customWidth="1"/>
    <col min="9735" max="9735" width="16.7109375" customWidth="1"/>
    <col min="9985" max="9985" width="10.28515625" customWidth="1"/>
    <col min="9986" max="9986" width="22.5703125" customWidth="1"/>
    <col min="9987" max="9987" width="17.42578125" customWidth="1"/>
    <col min="9988" max="9988" width="18" customWidth="1"/>
    <col min="9989" max="9989" width="42.85546875" customWidth="1"/>
    <col min="9990" max="9990" width="15.7109375" customWidth="1"/>
    <col min="9991" max="9991" width="16.7109375" customWidth="1"/>
    <col min="10241" max="10241" width="10.28515625" customWidth="1"/>
    <col min="10242" max="10242" width="22.5703125" customWidth="1"/>
    <col min="10243" max="10243" width="17.42578125" customWidth="1"/>
    <col min="10244" max="10244" width="18" customWidth="1"/>
    <col min="10245" max="10245" width="42.85546875" customWidth="1"/>
    <col min="10246" max="10246" width="15.7109375" customWidth="1"/>
    <col min="10247" max="10247" width="16.7109375" customWidth="1"/>
    <col min="10497" max="10497" width="10.28515625" customWidth="1"/>
    <col min="10498" max="10498" width="22.5703125" customWidth="1"/>
    <col min="10499" max="10499" width="17.42578125" customWidth="1"/>
    <col min="10500" max="10500" width="18" customWidth="1"/>
    <col min="10501" max="10501" width="42.85546875" customWidth="1"/>
    <col min="10502" max="10502" width="15.7109375" customWidth="1"/>
    <col min="10503" max="10503" width="16.7109375" customWidth="1"/>
    <col min="10753" max="10753" width="10.28515625" customWidth="1"/>
    <col min="10754" max="10754" width="22.5703125" customWidth="1"/>
    <col min="10755" max="10755" width="17.42578125" customWidth="1"/>
    <col min="10756" max="10756" width="18" customWidth="1"/>
    <col min="10757" max="10757" width="42.85546875" customWidth="1"/>
    <col min="10758" max="10758" width="15.7109375" customWidth="1"/>
    <col min="10759" max="10759" width="16.7109375" customWidth="1"/>
    <col min="11009" max="11009" width="10.28515625" customWidth="1"/>
    <col min="11010" max="11010" width="22.5703125" customWidth="1"/>
    <col min="11011" max="11011" width="17.42578125" customWidth="1"/>
    <col min="11012" max="11012" width="18" customWidth="1"/>
    <col min="11013" max="11013" width="42.85546875" customWidth="1"/>
    <col min="11014" max="11014" width="15.7109375" customWidth="1"/>
    <col min="11015" max="11015" width="16.7109375" customWidth="1"/>
    <col min="11265" max="11265" width="10.28515625" customWidth="1"/>
    <col min="11266" max="11266" width="22.5703125" customWidth="1"/>
    <col min="11267" max="11267" width="17.42578125" customWidth="1"/>
    <col min="11268" max="11268" width="18" customWidth="1"/>
    <col min="11269" max="11269" width="42.85546875" customWidth="1"/>
    <col min="11270" max="11270" width="15.7109375" customWidth="1"/>
    <col min="11271" max="11271" width="16.7109375" customWidth="1"/>
    <col min="11521" max="11521" width="10.28515625" customWidth="1"/>
    <col min="11522" max="11522" width="22.5703125" customWidth="1"/>
    <col min="11523" max="11523" width="17.42578125" customWidth="1"/>
    <col min="11524" max="11524" width="18" customWidth="1"/>
    <col min="11525" max="11525" width="42.85546875" customWidth="1"/>
    <col min="11526" max="11526" width="15.7109375" customWidth="1"/>
    <col min="11527" max="11527" width="16.7109375" customWidth="1"/>
    <col min="11777" max="11777" width="10.28515625" customWidth="1"/>
    <col min="11778" max="11778" width="22.5703125" customWidth="1"/>
    <col min="11779" max="11779" width="17.42578125" customWidth="1"/>
    <col min="11780" max="11780" width="18" customWidth="1"/>
    <col min="11781" max="11781" width="42.85546875" customWidth="1"/>
    <col min="11782" max="11782" width="15.7109375" customWidth="1"/>
    <col min="11783" max="11783" width="16.7109375" customWidth="1"/>
    <col min="12033" max="12033" width="10.28515625" customWidth="1"/>
    <col min="12034" max="12034" width="22.5703125" customWidth="1"/>
    <col min="12035" max="12035" width="17.42578125" customWidth="1"/>
    <col min="12036" max="12036" width="18" customWidth="1"/>
    <col min="12037" max="12037" width="42.85546875" customWidth="1"/>
    <col min="12038" max="12038" width="15.7109375" customWidth="1"/>
    <col min="12039" max="12039" width="16.7109375" customWidth="1"/>
    <col min="12289" max="12289" width="10.28515625" customWidth="1"/>
    <col min="12290" max="12290" width="22.5703125" customWidth="1"/>
    <col min="12291" max="12291" width="17.42578125" customWidth="1"/>
    <col min="12292" max="12292" width="18" customWidth="1"/>
    <col min="12293" max="12293" width="42.85546875" customWidth="1"/>
    <col min="12294" max="12294" width="15.7109375" customWidth="1"/>
    <col min="12295" max="12295" width="16.7109375" customWidth="1"/>
    <col min="12545" max="12545" width="10.28515625" customWidth="1"/>
    <col min="12546" max="12546" width="22.5703125" customWidth="1"/>
    <col min="12547" max="12547" width="17.42578125" customWidth="1"/>
    <col min="12548" max="12548" width="18" customWidth="1"/>
    <col min="12549" max="12549" width="42.85546875" customWidth="1"/>
    <col min="12550" max="12550" width="15.7109375" customWidth="1"/>
    <col min="12551" max="12551" width="16.7109375" customWidth="1"/>
    <col min="12801" max="12801" width="10.28515625" customWidth="1"/>
    <col min="12802" max="12802" width="22.5703125" customWidth="1"/>
    <col min="12803" max="12803" width="17.42578125" customWidth="1"/>
    <col min="12804" max="12804" width="18" customWidth="1"/>
    <col min="12805" max="12805" width="42.85546875" customWidth="1"/>
    <col min="12806" max="12806" width="15.7109375" customWidth="1"/>
    <col min="12807" max="12807" width="16.7109375" customWidth="1"/>
    <col min="13057" max="13057" width="10.28515625" customWidth="1"/>
    <col min="13058" max="13058" width="22.5703125" customWidth="1"/>
    <col min="13059" max="13059" width="17.42578125" customWidth="1"/>
    <col min="13060" max="13060" width="18" customWidth="1"/>
    <col min="13061" max="13061" width="42.85546875" customWidth="1"/>
    <col min="13062" max="13062" width="15.7109375" customWidth="1"/>
    <col min="13063" max="13063" width="16.7109375" customWidth="1"/>
    <col min="13313" max="13313" width="10.28515625" customWidth="1"/>
    <col min="13314" max="13314" width="22.5703125" customWidth="1"/>
    <col min="13315" max="13315" width="17.42578125" customWidth="1"/>
    <col min="13316" max="13316" width="18" customWidth="1"/>
    <col min="13317" max="13317" width="42.85546875" customWidth="1"/>
    <col min="13318" max="13318" width="15.7109375" customWidth="1"/>
    <col min="13319" max="13319" width="16.7109375" customWidth="1"/>
    <col min="13569" max="13569" width="10.28515625" customWidth="1"/>
    <col min="13570" max="13570" width="22.5703125" customWidth="1"/>
    <col min="13571" max="13571" width="17.42578125" customWidth="1"/>
    <col min="13572" max="13572" width="18" customWidth="1"/>
    <col min="13573" max="13573" width="42.85546875" customWidth="1"/>
    <col min="13574" max="13574" width="15.7109375" customWidth="1"/>
    <col min="13575" max="13575" width="16.7109375" customWidth="1"/>
    <col min="13825" max="13825" width="10.28515625" customWidth="1"/>
    <col min="13826" max="13826" width="22.5703125" customWidth="1"/>
    <col min="13827" max="13827" width="17.42578125" customWidth="1"/>
    <col min="13828" max="13828" width="18" customWidth="1"/>
    <col min="13829" max="13829" width="42.85546875" customWidth="1"/>
    <col min="13830" max="13830" width="15.7109375" customWidth="1"/>
    <col min="13831" max="13831" width="16.7109375" customWidth="1"/>
    <col min="14081" max="14081" width="10.28515625" customWidth="1"/>
    <col min="14082" max="14082" width="22.5703125" customWidth="1"/>
    <col min="14083" max="14083" width="17.42578125" customWidth="1"/>
    <col min="14084" max="14084" width="18" customWidth="1"/>
    <col min="14085" max="14085" width="42.85546875" customWidth="1"/>
    <col min="14086" max="14086" width="15.7109375" customWidth="1"/>
    <col min="14087" max="14087" width="16.7109375" customWidth="1"/>
    <col min="14337" max="14337" width="10.28515625" customWidth="1"/>
    <col min="14338" max="14338" width="22.5703125" customWidth="1"/>
    <col min="14339" max="14339" width="17.42578125" customWidth="1"/>
    <col min="14340" max="14340" width="18" customWidth="1"/>
    <col min="14341" max="14341" width="42.85546875" customWidth="1"/>
    <col min="14342" max="14342" width="15.7109375" customWidth="1"/>
    <col min="14343" max="14343" width="16.7109375" customWidth="1"/>
    <col min="14593" max="14593" width="10.28515625" customWidth="1"/>
    <col min="14594" max="14594" width="22.5703125" customWidth="1"/>
    <col min="14595" max="14595" width="17.42578125" customWidth="1"/>
    <col min="14596" max="14596" width="18" customWidth="1"/>
    <col min="14597" max="14597" width="42.85546875" customWidth="1"/>
    <col min="14598" max="14598" width="15.7109375" customWidth="1"/>
    <col min="14599" max="14599" width="16.7109375" customWidth="1"/>
    <col min="14849" max="14849" width="10.28515625" customWidth="1"/>
    <col min="14850" max="14850" width="22.5703125" customWidth="1"/>
    <col min="14851" max="14851" width="17.42578125" customWidth="1"/>
    <col min="14852" max="14852" width="18" customWidth="1"/>
    <col min="14853" max="14853" width="42.85546875" customWidth="1"/>
    <col min="14854" max="14854" width="15.7109375" customWidth="1"/>
    <col min="14855" max="14855" width="16.7109375" customWidth="1"/>
    <col min="15105" max="15105" width="10.28515625" customWidth="1"/>
    <col min="15106" max="15106" width="22.5703125" customWidth="1"/>
    <col min="15107" max="15107" width="17.42578125" customWidth="1"/>
    <col min="15108" max="15108" width="18" customWidth="1"/>
    <col min="15109" max="15109" width="42.85546875" customWidth="1"/>
    <col min="15110" max="15110" width="15.7109375" customWidth="1"/>
    <col min="15111" max="15111" width="16.7109375" customWidth="1"/>
    <col min="15361" max="15361" width="10.28515625" customWidth="1"/>
    <col min="15362" max="15362" width="22.5703125" customWidth="1"/>
    <col min="15363" max="15363" width="17.42578125" customWidth="1"/>
    <col min="15364" max="15364" width="18" customWidth="1"/>
    <col min="15365" max="15365" width="42.85546875" customWidth="1"/>
    <col min="15366" max="15366" width="15.7109375" customWidth="1"/>
    <col min="15367" max="15367" width="16.7109375" customWidth="1"/>
    <col min="15617" max="15617" width="10.28515625" customWidth="1"/>
    <col min="15618" max="15618" width="22.5703125" customWidth="1"/>
    <col min="15619" max="15619" width="17.42578125" customWidth="1"/>
    <col min="15620" max="15620" width="18" customWidth="1"/>
    <col min="15621" max="15621" width="42.85546875" customWidth="1"/>
    <col min="15622" max="15622" width="15.7109375" customWidth="1"/>
    <col min="15623" max="15623" width="16.7109375" customWidth="1"/>
    <col min="15873" max="15873" width="10.28515625" customWidth="1"/>
    <col min="15874" max="15874" width="22.5703125" customWidth="1"/>
    <col min="15875" max="15875" width="17.42578125" customWidth="1"/>
    <col min="15876" max="15876" width="18" customWidth="1"/>
    <col min="15877" max="15877" width="42.85546875" customWidth="1"/>
    <col min="15878" max="15878" width="15.7109375" customWidth="1"/>
    <col min="15879" max="15879" width="16.7109375" customWidth="1"/>
    <col min="16129" max="16129" width="10.28515625" customWidth="1"/>
    <col min="16130" max="16130" width="22.5703125" customWidth="1"/>
    <col min="16131" max="16131" width="17.42578125" customWidth="1"/>
    <col min="16132" max="16132" width="18" customWidth="1"/>
    <col min="16133" max="16133" width="42.85546875" customWidth="1"/>
    <col min="16134" max="16134" width="15.7109375" customWidth="1"/>
    <col min="16135" max="16135" width="16.7109375" customWidth="1"/>
  </cols>
  <sheetData>
    <row r="1" spans="1:7" ht="31.9" customHeight="1" thickBot="1" x14ac:dyDescent="0.3">
      <c r="A1" s="517" t="s">
        <v>1096</v>
      </c>
      <c r="B1" s="518"/>
      <c r="C1" s="518"/>
      <c r="D1" s="518"/>
      <c r="E1" s="518"/>
      <c r="F1" s="518"/>
      <c r="G1" s="519"/>
    </row>
    <row r="2" spans="1:7" ht="57" thickBot="1" x14ac:dyDescent="0.3">
      <c r="A2" s="331" t="s">
        <v>218</v>
      </c>
      <c r="B2" s="331" t="s">
        <v>219</v>
      </c>
      <c r="C2" s="332" t="s">
        <v>3</v>
      </c>
      <c r="D2" s="124" t="s">
        <v>220</v>
      </c>
      <c r="E2" s="125" t="s">
        <v>221</v>
      </c>
      <c r="F2" s="333" t="s">
        <v>217</v>
      </c>
      <c r="G2" s="331" t="s">
        <v>222</v>
      </c>
    </row>
    <row r="3" spans="1:7" ht="18" customHeight="1" x14ac:dyDescent="0.25">
      <c r="A3" s="520">
        <v>1</v>
      </c>
      <c r="B3" s="521" t="s">
        <v>614</v>
      </c>
      <c r="C3" s="329" t="s">
        <v>15</v>
      </c>
      <c r="D3" s="324">
        <v>4</v>
      </c>
      <c r="E3" s="324"/>
      <c r="F3" s="324"/>
      <c r="G3" s="339">
        <f>E3/D3</f>
        <v>0</v>
      </c>
    </row>
    <row r="4" spans="1:7" ht="18" customHeight="1" x14ac:dyDescent="0.25">
      <c r="A4" s="513"/>
      <c r="B4" s="512"/>
      <c r="C4" s="330" t="s">
        <v>30</v>
      </c>
      <c r="D4" s="325">
        <v>1</v>
      </c>
      <c r="E4" s="325"/>
      <c r="F4" s="325"/>
      <c r="G4" s="340">
        <f t="shared" ref="G4:G20" si="0">E4/D4</f>
        <v>0</v>
      </c>
    </row>
    <row r="5" spans="1:7" ht="18" customHeight="1" x14ac:dyDescent="0.25">
      <c r="A5" s="513">
        <v>2</v>
      </c>
      <c r="B5" s="512" t="s">
        <v>207</v>
      </c>
      <c r="C5" s="330" t="s">
        <v>15</v>
      </c>
      <c r="D5" s="325">
        <v>3</v>
      </c>
      <c r="E5" s="325"/>
      <c r="F5" s="325"/>
      <c r="G5" s="340">
        <f t="shared" si="0"/>
        <v>0</v>
      </c>
    </row>
    <row r="6" spans="1:7" ht="18" customHeight="1" x14ac:dyDescent="0.25">
      <c r="A6" s="513"/>
      <c r="B6" s="512"/>
      <c r="C6" s="330" t="s">
        <v>30</v>
      </c>
      <c r="D6" s="325">
        <v>1</v>
      </c>
      <c r="E6" s="325"/>
      <c r="F6" s="325"/>
      <c r="G6" s="340">
        <f t="shared" si="0"/>
        <v>0</v>
      </c>
    </row>
    <row r="7" spans="1:7" ht="18" customHeight="1" x14ac:dyDescent="0.25">
      <c r="A7" s="513">
        <v>3</v>
      </c>
      <c r="B7" s="512" t="s">
        <v>152</v>
      </c>
      <c r="C7" s="330" t="s">
        <v>15</v>
      </c>
      <c r="D7" s="325">
        <v>7</v>
      </c>
      <c r="E7" s="325">
        <v>1</v>
      </c>
      <c r="F7" s="325">
        <v>1</v>
      </c>
      <c r="G7" s="340">
        <f t="shared" si="0"/>
        <v>0.14285714285714285</v>
      </c>
    </row>
    <row r="8" spans="1:7" ht="18" customHeight="1" x14ac:dyDescent="0.25">
      <c r="A8" s="513"/>
      <c r="B8" s="512"/>
      <c r="C8" s="330" t="s">
        <v>30</v>
      </c>
      <c r="D8" s="325">
        <v>6</v>
      </c>
      <c r="E8" s="325">
        <v>1</v>
      </c>
      <c r="F8" s="325"/>
      <c r="G8" s="340">
        <f t="shared" si="0"/>
        <v>0.16666666666666666</v>
      </c>
    </row>
    <row r="9" spans="1:7" ht="18" customHeight="1" x14ac:dyDescent="0.25">
      <c r="A9" s="513">
        <v>4</v>
      </c>
      <c r="B9" s="512" t="s">
        <v>615</v>
      </c>
      <c r="C9" s="330" t="s">
        <v>15</v>
      </c>
      <c r="D9" s="325">
        <v>2</v>
      </c>
      <c r="E9" s="325"/>
      <c r="F9" s="325">
        <v>1</v>
      </c>
      <c r="G9" s="340">
        <f t="shared" si="0"/>
        <v>0</v>
      </c>
    </row>
    <row r="10" spans="1:7" ht="18" customHeight="1" x14ac:dyDescent="0.25">
      <c r="A10" s="513"/>
      <c r="B10" s="512"/>
      <c r="C10" s="330" t="s">
        <v>30</v>
      </c>
      <c r="D10" s="325">
        <v>3</v>
      </c>
      <c r="E10" s="325"/>
      <c r="F10" s="325"/>
      <c r="G10" s="340">
        <f t="shared" si="0"/>
        <v>0</v>
      </c>
    </row>
    <row r="11" spans="1:7" ht="18" customHeight="1" x14ac:dyDescent="0.25">
      <c r="A11" s="312">
        <v>5</v>
      </c>
      <c r="B11" s="335" t="s">
        <v>616</v>
      </c>
      <c r="C11" s="330" t="s">
        <v>15</v>
      </c>
      <c r="D11" s="325">
        <v>3</v>
      </c>
      <c r="E11" s="325"/>
      <c r="F11" s="325"/>
      <c r="G11" s="340">
        <f t="shared" si="0"/>
        <v>0</v>
      </c>
    </row>
    <row r="12" spans="1:7" ht="18" customHeight="1" x14ac:dyDescent="0.25">
      <c r="A12" s="513">
        <v>6</v>
      </c>
      <c r="B12" s="512" t="s">
        <v>617</v>
      </c>
      <c r="C12" s="330" t="s">
        <v>15</v>
      </c>
      <c r="D12" s="325">
        <v>6</v>
      </c>
      <c r="E12" s="325">
        <v>2</v>
      </c>
      <c r="F12" s="325"/>
      <c r="G12" s="340">
        <f t="shared" si="0"/>
        <v>0.33333333333333331</v>
      </c>
    </row>
    <row r="13" spans="1:7" ht="18" customHeight="1" x14ac:dyDescent="0.25">
      <c r="A13" s="513"/>
      <c r="B13" s="512"/>
      <c r="C13" s="330" t="s">
        <v>30</v>
      </c>
      <c r="D13" s="325">
        <v>9</v>
      </c>
      <c r="E13" s="325"/>
      <c r="F13" s="325">
        <v>1</v>
      </c>
      <c r="G13" s="340">
        <f t="shared" si="0"/>
        <v>0</v>
      </c>
    </row>
    <row r="14" spans="1:7" ht="18" customHeight="1" x14ac:dyDescent="0.25">
      <c r="A14" s="513">
        <v>7</v>
      </c>
      <c r="B14" s="512" t="s">
        <v>1097</v>
      </c>
      <c r="C14" s="330" t="s">
        <v>15</v>
      </c>
      <c r="D14" s="325">
        <v>22</v>
      </c>
      <c r="E14" s="325">
        <v>5</v>
      </c>
      <c r="F14" s="325">
        <v>1</v>
      </c>
      <c r="G14" s="340">
        <f t="shared" si="0"/>
        <v>0.22727272727272727</v>
      </c>
    </row>
    <row r="15" spans="1:7" ht="18" customHeight="1" x14ac:dyDescent="0.25">
      <c r="A15" s="513"/>
      <c r="B15" s="512"/>
      <c r="C15" s="330" t="s">
        <v>30</v>
      </c>
      <c r="D15" s="325">
        <v>29</v>
      </c>
      <c r="E15" s="325">
        <v>4</v>
      </c>
      <c r="F15" s="325">
        <v>4</v>
      </c>
      <c r="G15" s="340">
        <f t="shared" si="0"/>
        <v>0.13793103448275862</v>
      </c>
    </row>
    <row r="16" spans="1:7" ht="18" customHeight="1" x14ac:dyDescent="0.25">
      <c r="A16" s="513"/>
      <c r="B16" s="512"/>
      <c r="C16" s="330" t="s">
        <v>223</v>
      </c>
      <c r="D16" s="325">
        <v>2</v>
      </c>
      <c r="E16" s="325">
        <v>1</v>
      </c>
      <c r="F16" s="325"/>
      <c r="G16" s="340">
        <f t="shared" si="0"/>
        <v>0.5</v>
      </c>
    </row>
    <row r="17" spans="1:7" ht="18" customHeight="1" x14ac:dyDescent="0.25">
      <c r="A17" s="312">
        <v>8</v>
      </c>
      <c r="B17" s="335" t="s">
        <v>654</v>
      </c>
      <c r="C17" s="330" t="s">
        <v>15</v>
      </c>
      <c r="D17" s="325">
        <v>6</v>
      </c>
      <c r="E17" s="325">
        <v>1</v>
      </c>
      <c r="F17" s="325">
        <v>1</v>
      </c>
      <c r="G17" s="340">
        <f t="shared" si="0"/>
        <v>0.16666666666666666</v>
      </c>
    </row>
    <row r="18" spans="1:7" ht="18" customHeight="1" x14ac:dyDescent="0.25">
      <c r="A18" s="513">
        <v>9</v>
      </c>
      <c r="B18" s="512" t="s">
        <v>1098</v>
      </c>
      <c r="C18" s="330" t="s">
        <v>15</v>
      </c>
      <c r="D18" s="325">
        <v>2</v>
      </c>
      <c r="E18" s="325"/>
      <c r="F18" s="325">
        <v>1</v>
      </c>
      <c r="G18" s="340">
        <f t="shared" si="0"/>
        <v>0</v>
      </c>
    </row>
    <row r="19" spans="1:7" ht="18" customHeight="1" x14ac:dyDescent="0.25">
      <c r="A19" s="513"/>
      <c r="B19" s="512"/>
      <c r="C19" s="330" t="s">
        <v>30</v>
      </c>
      <c r="D19" s="325">
        <v>6</v>
      </c>
      <c r="E19" s="325">
        <v>2</v>
      </c>
      <c r="F19" s="325"/>
      <c r="G19" s="340">
        <f t="shared" si="0"/>
        <v>0.33333333333333331</v>
      </c>
    </row>
    <row r="20" spans="1:7" ht="18" customHeight="1" thickBot="1" x14ac:dyDescent="0.3">
      <c r="A20" s="312">
        <v>10</v>
      </c>
      <c r="B20" s="336" t="s">
        <v>1099</v>
      </c>
      <c r="C20" s="337" t="s">
        <v>30</v>
      </c>
      <c r="D20" s="338">
        <v>2</v>
      </c>
      <c r="E20" s="338"/>
      <c r="F20" s="325"/>
      <c r="G20" s="340">
        <f t="shared" si="0"/>
        <v>0</v>
      </c>
    </row>
    <row r="21" spans="1:7" ht="18" customHeight="1" thickBot="1" x14ac:dyDescent="0.3">
      <c r="A21" s="343">
        <v>11</v>
      </c>
      <c r="B21" s="514" t="s">
        <v>217</v>
      </c>
      <c r="C21" s="515"/>
      <c r="D21" s="515"/>
      <c r="E21" s="516"/>
      <c r="F21" s="344">
        <v>2</v>
      </c>
      <c r="G21" s="341"/>
    </row>
    <row r="22" spans="1:7" ht="27" thickBot="1" x14ac:dyDescent="0.3">
      <c r="A22" s="522" t="s">
        <v>1094</v>
      </c>
      <c r="B22" s="523"/>
      <c r="C22" s="524"/>
      <c r="D22" s="334">
        <f>SUM(D3:D21)</f>
        <v>114</v>
      </c>
      <c r="E22" s="334">
        <f t="shared" ref="E22:F22" si="1">SUM(E3:E21)</f>
        <v>17</v>
      </c>
      <c r="F22" s="334">
        <f t="shared" si="1"/>
        <v>12</v>
      </c>
      <c r="G22" s="342">
        <f>E22/D22</f>
        <v>0.14912280701754385</v>
      </c>
    </row>
    <row r="23" spans="1:7" ht="32.25" thickBot="1" x14ac:dyDescent="0.3">
      <c r="A23" s="525" t="s">
        <v>1100</v>
      </c>
      <c r="B23" s="526"/>
      <c r="C23" s="526"/>
      <c r="D23" s="526"/>
      <c r="E23" s="526"/>
      <c r="F23" s="526"/>
      <c r="G23" s="527"/>
    </row>
    <row r="24" spans="1:7" ht="27" thickBot="1" x14ac:dyDescent="0.3">
      <c r="A24" s="313">
        <v>1</v>
      </c>
      <c r="B24" s="508" t="s">
        <v>1101</v>
      </c>
      <c r="C24" s="508"/>
      <c r="D24" s="508"/>
      <c r="E24" s="508"/>
      <c r="F24" s="326">
        <v>1</v>
      </c>
      <c r="G24" s="327"/>
    </row>
    <row r="25" spans="1:7" ht="27" thickBot="1" x14ac:dyDescent="0.3">
      <c r="A25" s="313">
        <v>2</v>
      </c>
      <c r="B25" s="508" t="s">
        <v>1102</v>
      </c>
      <c r="C25" s="508"/>
      <c r="D25" s="508"/>
      <c r="E25" s="508"/>
      <c r="F25" s="326">
        <v>1</v>
      </c>
      <c r="G25" s="327"/>
    </row>
    <row r="26" spans="1:7" ht="27" thickBot="1" x14ac:dyDescent="0.3">
      <c r="A26" s="313">
        <v>3</v>
      </c>
      <c r="B26" s="508" t="s">
        <v>1103</v>
      </c>
      <c r="C26" s="508"/>
      <c r="D26" s="508"/>
      <c r="E26" s="508"/>
      <c r="F26" s="326">
        <v>1</v>
      </c>
      <c r="G26" s="327"/>
    </row>
    <row r="27" spans="1:7" ht="27" thickBot="1" x14ac:dyDescent="0.3">
      <c r="A27" s="313">
        <v>4</v>
      </c>
      <c r="B27" s="508" t="s">
        <v>1104</v>
      </c>
      <c r="C27" s="508"/>
      <c r="D27" s="508"/>
      <c r="E27" s="508"/>
      <c r="F27" s="326">
        <v>1</v>
      </c>
      <c r="G27" s="327"/>
    </row>
    <row r="28" spans="1:7" ht="27" thickBot="1" x14ac:dyDescent="0.3">
      <c r="A28" s="313">
        <v>5</v>
      </c>
      <c r="B28" s="508" t="s">
        <v>1105</v>
      </c>
      <c r="C28" s="508"/>
      <c r="D28" s="508"/>
      <c r="E28" s="508"/>
      <c r="F28" s="326">
        <v>1</v>
      </c>
      <c r="G28" s="327"/>
    </row>
    <row r="29" spans="1:7" ht="27" thickBot="1" x14ac:dyDescent="0.3">
      <c r="A29" s="313">
        <v>6</v>
      </c>
      <c r="B29" s="508" t="s">
        <v>1106</v>
      </c>
      <c r="C29" s="508"/>
      <c r="D29" s="508"/>
      <c r="E29" s="508"/>
      <c r="F29" s="326">
        <v>1</v>
      </c>
      <c r="G29" s="327"/>
    </row>
    <row r="30" spans="1:7" ht="27" thickBot="1" x14ac:dyDescent="0.3">
      <c r="A30" s="313">
        <v>7</v>
      </c>
      <c r="B30" s="508" t="s">
        <v>1112</v>
      </c>
      <c r="C30" s="508"/>
      <c r="D30" s="508"/>
      <c r="E30" s="508"/>
      <c r="F30" s="326">
        <v>1</v>
      </c>
      <c r="G30" s="327"/>
    </row>
    <row r="31" spans="1:7" ht="27" thickBot="1" x14ac:dyDescent="0.3">
      <c r="A31" s="313">
        <v>8</v>
      </c>
      <c r="B31" s="508" t="s">
        <v>1107</v>
      </c>
      <c r="C31" s="508"/>
      <c r="D31" s="508"/>
      <c r="E31" s="508"/>
      <c r="F31" s="326">
        <v>1</v>
      </c>
      <c r="G31" s="327"/>
    </row>
    <row r="32" spans="1:7" ht="27" thickBot="1" x14ac:dyDescent="0.3">
      <c r="A32" s="313">
        <v>9</v>
      </c>
      <c r="B32" s="508" t="s">
        <v>1108</v>
      </c>
      <c r="C32" s="508"/>
      <c r="D32" s="508"/>
      <c r="E32" s="508"/>
      <c r="F32" s="326">
        <v>1</v>
      </c>
      <c r="G32" s="327"/>
    </row>
    <row r="33" spans="1:7" ht="27" thickBot="1" x14ac:dyDescent="0.3">
      <c r="A33" s="313">
        <v>10</v>
      </c>
      <c r="B33" s="508" t="s">
        <v>1109</v>
      </c>
      <c r="C33" s="508"/>
      <c r="D33" s="508"/>
      <c r="E33" s="508"/>
      <c r="F33" s="326">
        <v>1</v>
      </c>
      <c r="G33" s="345"/>
    </row>
    <row r="34" spans="1:7" ht="27" thickBot="1" x14ac:dyDescent="0.3">
      <c r="A34" s="313">
        <v>11</v>
      </c>
      <c r="B34" s="508" t="s">
        <v>1110</v>
      </c>
      <c r="C34" s="508"/>
      <c r="D34" s="508"/>
      <c r="E34" s="508"/>
      <c r="F34" s="326">
        <v>1</v>
      </c>
      <c r="G34" s="345"/>
    </row>
    <row r="35" spans="1:7" ht="27" thickBot="1" x14ac:dyDescent="0.3">
      <c r="A35" s="313">
        <v>12</v>
      </c>
      <c r="B35" s="508" t="s">
        <v>1111</v>
      </c>
      <c r="C35" s="508"/>
      <c r="D35" s="508"/>
      <c r="E35" s="508"/>
      <c r="F35" s="326">
        <v>1</v>
      </c>
      <c r="G35" s="345"/>
    </row>
    <row r="36" spans="1:7" ht="27" thickBot="1" x14ac:dyDescent="0.3">
      <c r="A36" s="509" t="s">
        <v>1095</v>
      </c>
      <c r="B36" s="510"/>
      <c r="C36" s="511"/>
      <c r="D36" s="328">
        <f>D22</f>
        <v>114</v>
      </c>
      <c r="E36" s="328">
        <f>E22</f>
        <v>17</v>
      </c>
      <c r="F36" s="328">
        <f>F22</f>
        <v>12</v>
      </c>
      <c r="G36" s="346">
        <f>E36/D36</f>
        <v>0.14912280701754385</v>
      </c>
    </row>
  </sheetData>
  <mergeCells count="31">
    <mergeCell ref="B27:E27"/>
    <mergeCell ref="B28:E28"/>
    <mergeCell ref="B29:E29"/>
    <mergeCell ref="B31:E31"/>
    <mergeCell ref="B30:E30"/>
    <mergeCell ref="A7:A8"/>
    <mergeCell ref="B7:B8"/>
    <mergeCell ref="A22:C22"/>
    <mergeCell ref="A23:G23"/>
    <mergeCell ref="B24:E24"/>
    <mergeCell ref="A1:G1"/>
    <mergeCell ref="A3:A4"/>
    <mergeCell ref="B3:B4"/>
    <mergeCell ref="A5:A6"/>
    <mergeCell ref="B5:B6"/>
    <mergeCell ref="B32:E32"/>
    <mergeCell ref="A36:C36"/>
    <mergeCell ref="B9:B10"/>
    <mergeCell ref="A9:A10"/>
    <mergeCell ref="B12:B13"/>
    <mergeCell ref="A12:A13"/>
    <mergeCell ref="B14:B16"/>
    <mergeCell ref="A14:A16"/>
    <mergeCell ref="B18:B19"/>
    <mergeCell ref="A18:A19"/>
    <mergeCell ref="B21:E21"/>
    <mergeCell ref="B33:E33"/>
    <mergeCell ref="B34:E34"/>
    <mergeCell ref="B35:E35"/>
    <mergeCell ref="B25:E25"/>
    <mergeCell ref="B26:E2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4"/>
  <sheetViews>
    <sheetView zoomScale="70" zoomScaleNormal="70" workbookViewId="0">
      <selection activeCell="T16" sqref="T16"/>
    </sheetView>
  </sheetViews>
  <sheetFormatPr defaultRowHeight="15" x14ac:dyDescent="0.25"/>
  <cols>
    <col min="1" max="1" width="11" customWidth="1"/>
    <col min="2" max="2" width="43" customWidth="1"/>
    <col min="3" max="4" width="21.85546875" customWidth="1"/>
    <col min="5" max="5" width="17.28515625" customWidth="1"/>
    <col min="6" max="6" width="21" customWidth="1"/>
    <col min="251" max="251" width="11" customWidth="1"/>
    <col min="252" max="252" width="30.28515625" customWidth="1"/>
    <col min="253" max="253" width="22.85546875" customWidth="1"/>
    <col min="254" max="254" width="30.28515625" customWidth="1"/>
    <col min="255" max="255" width="17.28515625" customWidth="1"/>
    <col min="256" max="256" width="15.42578125" customWidth="1"/>
    <col min="507" max="507" width="11" customWidth="1"/>
    <col min="508" max="508" width="30.28515625" customWidth="1"/>
    <col min="509" max="509" width="22.85546875" customWidth="1"/>
    <col min="510" max="510" width="30.28515625" customWidth="1"/>
    <col min="511" max="511" width="17.28515625" customWidth="1"/>
    <col min="512" max="512" width="15.42578125" customWidth="1"/>
    <col min="763" max="763" width="11" customWidth="1"/>
    <col min="764" max="764" width="30.28515625" customWidth="1"/>
    <col min="765" max="765" width="22.85546875" customWidth="1"/>
    <col min="766" max="766" width="30.28515625" customWidth="1"/>
    <col min="767" max="767" width="17.28515625" customWidth="1"/>
    <col min="768" max="768" width="15.42578125" customWidth="1"/>
    <col min="1019" max="1019" width="11" customWidth="1"/>
    <col min="1020" max="1020" width="30.28515625" customWidth="1"/>
    <col min="1021" max="1021" width="22.85546875" customWidth="1"/>
    <col min="1022" max="1022" width="30.28515625" customWidth="1"/>
    <col min="1023" max="1023" width="17.28515625" customWidth="1"/>
    <col min="1024" max="1024" width="15.42578125" customWidth="1"/>
    <col min="1275" max="1275" width="11" customWidth="1"/>
    <col min="1276" max="1276" width="30.28515625" customWidth="1"/>
    <col min="1277" max="1277" width="22.85546875" customWidth="1"/>
    <col min="1278" max="1278" width="30.28515625" customWidth="1"/>
    <col min="1279" max="1279" width="17.28515625" customWidth="1"/>
    <col min="1280" max="1280" width="15.42578125" customWidth="1"/>
    <col min="1531" max="1531" width="11" customWidth="1"/>
    <col min="1532" max="1532" width="30.28515625" customWidth="1"/>
    <col min="1533" max="1533" width="22.85546875" customWidth="1"/>
    <col min="1534" max="1534" width="30.28515625" customWidth="1"/>
    <col min="1535" max="1535" width="17.28515625" customWidth="1"/>
    <col min="1536" max="1536" width="15.42578125" customWidth="1"/>
    <col min="1787" max="1787" width="11" customWidth="1"/>
    <col min="1788" max="1788" width="30.28515625" customWidth="1"/>
    <col min="1789" max="1789" width="22.85546875" customWidth="1"/>
    <col min="1790" max="1790" width="30.28515625" customWidth="1"/>
    <col min="1791" max="1791" width="17.28515625" customWidth="1"/>
    <col min="1792" max="1792" width="15.42578125" customWidth="1"/>
    <col min="2043" max="2043" width="11" customWidth="1"/>
    <col min="2044" max="2044" width="30.28515625" customWidth="1"/>
    <col min="2045" max="2045" width="22.85546875" customWidth="1"/>
    <col min="2046" max="2046" width="30.28515625" customWidth="1"/>
    <col min="2047" max="2047" width="17.28515625" customWidth="1"/>
    <col min="2048" max="2048" width="15.42578125" customWidth="1"/>
    <col min="2299" max="2299" width="11" customWidth="1"/>
    <col min="2300" max="2300" width="30.28515625" customWidth="1"/>
    <col min="2301" max="2301" width="22.85546875" customWidth="1"/>
    <col min="2302" max="2302" width="30.28515625" customWidth="1"/>
    <col min="2303" max="2303" width="17.28515625" customWidth="1"/>
    <col min="2304" max="2304" width="15.42578125" customWidth="1"/>
    <col min="2555" max="2555" width="11" customWidth="1"/>
    <col min="2556" max="2556" width="30.28515625" customWidth="1"/>
    <col min="2557" max="2557" width="22.85546875" customWidth="1"/>
    <col min="2558" max="2558" width="30.28515625" customWidth="1"/>
    <col min="2559" max="2559" width="17.28515625" customWidth="1"/>
    <col min="2560" max="2560" width="15.42578125" customWidth="1"/>
    <col min="2811" max="2811" width="11" customWidth="1"/>
    <col min="2812" max="2812" width="30.28515625" customWidth="1"/>
    <col min="2813" max="2813" width="22.85546875" customWidth="1"/>
    <col min="2814" max="2814" width="30.28515625" customWidth="1"/>
    <col min="2815" max="2815" width="17.28515625" customWidth="1"/>
    <col min="2816" max="2816" width="15.42578125" customWidth="1"/>
    <col min="3067" max="3067" width="11" customWidth="1"/>
    <col min="3068" max="3068" width="30.28515625" customWidth="1"/>
    <col min="3069" max="3069" width="22.85546875" customWidth="1"/>
    <col min="3070" max="3070" width="30.28515625" customWidth="1"/>
    <col min="3071" max="3071" width="17.28515625" customWidth="1"/>
    <col min="3072" max="3072" width="15.42578125" customWidth="1"/>
    <col min="3323" max="3323" width="11" customWidth="1"/>
    <col min="3324" max="3324" width="30.28515625" customWidth="1"/>
    <col min="3325" max="3325" width="22.85546875" customWidth="1"/>
    <col min="3326" max="3326" width="30.28515625" customWidth="1"/>
    <col min="3327" max="3327" width="17.28515625" customWidth="1"/>
    <col min="3328" max="3328" width="15.42578125" customWidth="1"/>
    <col min="3579" max="3579" width="11" customWidth="1"/>
    <col min="3580" max="3580" width="30.28515625" customWidth="1"/>
    <col min="3581" max="3581" width="22.85546875" customWidth="1"/>
    <col min="3582" max="3582" width="30.28515625" customWidth="1"/>
    <col min="3583" max="3583" width="17.28515625" customWidth="1"/>
    <col min="3584" max="3584" width="15.42578125" customWidth="1"/>
    <col min="3835" max="3835" width="11" customWidth="1"/>
    <col min="3836" max="3836" width="30.28515625" customWidth="1"/>
    <col min="3837" max="3837" width="22.85546875" customWidth="1"/>
    <col min="3838" max="3838" width="30.28515625" customWidth="1"/>
    <col min="3839" max="3839" width="17.28515625" customWidth="1"/>
    <col min="3840" max="3840" width="15.42578125" customWidth="1"/>
    <col min="4091" max="4091" width="11" customWidth="1"/>
    <col min="4092" max="4092" width="30.28515625" customWidth="1"/>
    <col min="4093" max="4093" width="22.85546875" customWidth="1"/>
    <col min="4094" max="4094" width="30.28515625" customWidth="1"/>
    <col min="4095" max="4095" width="17.28515625" customWidth="1"/>
    <col min="4096" max="4096" width="15.42578125" customWidth="1"/>
    <col min="4347" max="4347" width="11" customWidth="1"/>
    <col min="4348" max="4348" width="30.28515625" customWidth="1"/>
    <col min="4349" max="4349" width="22.85546875" customWidth="1"/>
    <col min="4350" max="4350" width="30.28515625" customWidth="1"/>
    <col min="4351" max="4351" width="17.28515625" customWidth="1"/>
    <col min="4352" max="4352" width="15.42578125" customWidth="1"/>
    <col min="4603" max="4603" width="11" customWidth="1"/>
    <col min="4604" max="4604" width="30.28515625" customWidth="1"/>
    <col min="4605" max="4605" width="22.85546875" customWidth="1"/>
    <col min="4606" max="4606" width="30.28515625" customWidth="1"/>
    <col min="4607" max="4607" width="17.28515625" customWidth="1"/>
    <col min="4608" max="4608" width="15.42578125" customWidth="1"/>
    <col min="4859" max="4859" width="11" customWidth="1"/>
    <col min="4860" max="4860" width="30.28515625" customWidth="1"/>
    <col min="4861" max="4861" width="22.85546875" customWidth="1"/>
    <col min="4862" max="4862" width="30.28515625" customWidth="1"/>
    <col min="4863" max="4863" width="17.28515625" customWidth="1"/>
    <col min="4864" max="4864" width="15.42578125" customWidth="1"/>
    <col min="5115" max="5115" width="11" customWidth="1"/>
    <col min="5116" max="5116" width="30.28515625" customWidth="1"/>
    <col min="5117" max="5117" width="22.85546875" customWidth="1"/>
    <col min="5118" max="5118" width="30.28515625" customWidth="1"/>
    <col min="5119" max="5119" width="17.28515625" customWidth="1"/>
    <col min="5120" max="5120" width="15.42578125" customWidth="1"/>
    <col min="5371" max="5371" width="11" customWidth="1"/>
    <col min="5372" max="5372" width="30.28515625" customWidth="1"/>
    <col min="5373" max="5373" width="22.85546875" customWidth="1"/>
    <col min="5374" max="5374" width="30.28515625" customWidth="1"/>
    <col min="5375" max="5375" width="17.28515625" customWidth="1"/>
    <col min="5376" max="5376" width="15.42578125" customWidth="1"/>
    <col min="5627" max="5627" width="11" customWidth="1"/>
    <col min="5628" max="5628" width="30.28515625" customWidth="1"/>
    <col min="5629" max="5629" width="22.85546875" customWidth="1"/>
    <col min="5630" max="5630" width="30.28515625" customWidth="1"/>
    <col min="5631" max="5631" width="17.28515625" customWidth="1"/>
    <col min="5632" max="5632" width="15.42578125" customWidth="1"/>
    <col min="5883" max="5883" width="11" customWidth="1"/>
    <col min="5884" max="5884" width="30.28515625" customWidth="1"/>
    <col min="5885" max="5885" width="22.85546875" customWidth="1"/>
    <col min="5886" max="5886" width="30.28515625" customWidth="1"/>
    <col min="5887" max="5887" width="17.28515625" customWidth="1"/>
    <col min="5888" max="5888" width="15.42578125" customWidth="1"/>
    <col min="6139" max="6139" width="11" customWidth="1"/>
    <col min="6140" max="6140" width="30.28515625" customWidth="1"/>
    <col min="6141" max="6141" width="22.85546875" customWidth="1"/>
    <col min="6142" max="6142" width="30.28515625" customWidth="1"/>
    <col min="6143" max="6143" width="17.28515625" customWidth="1"/>
    <col min="6144" max="6144" width="15.42578125" customWidth="1"/>
    <col min="6395" max="6395" width="11" customWidth="1"/>
    <col min="6396" max="6396" width="30.28515625" customWidth="1"/>
    <col min="6397" max="6397" width="22.85546875" customWidth="1"/>
    <col min="6398" max="6398" width="30.28515625" customWidth="1"/>
    <col min="6399" max="6399" width="17.28515625" customWidth="1"/>
    <col min="6400" max="6400" width="15.42578125" customWidth="1"/>
    <col min="6651" max="6651" width="11" customWidth="1"/>
    <col min="6652" max="6652" width="30.28515625" customWidth="1"/>
    <col min="6653" max="6653" width="22.85546875" customWidth="1"/>
    <col min="6654" max="6654" width="30.28515625" customWidth="1"/>
    <col min="6655" max="6655" width="17.28515625" customWidth="1"/>
    <col min="6656" max="6656" width="15.42578125" customWidth="1"/>
    <col min="6907" max="6907" width="11" customWidth="1"/>
    <col min="6908" max="6908" width="30.28515625" customWidth="1"/>
    <col min="6909" max="6909" width="22.85546875" customWidth="1"/>
    <col min="6910" max="6910" width="30.28515625" customWidth="1"/>
    <col min="6911" max="6911" width="17.28515625" customWidth="1"/>
    <col min="6912" max="6912" width="15.42578125" customWidth="1"/>
    <col min="7163" max="7163" width="11" customWidth="1"/>
    <col min="7164" max="7164" width="30.28515625" customWidth="1"/>
    <col min="7165" max="7165" width="22.85546875" customWidth="1"/>
    <col min="7166" max="7166" width="30.28515625" customWidth="1"/>
    <col min="7167" max="7167" width="17.28515625" customWidth="1"/>
    <col min="7168" max="7168" width="15.42578125" customWidth="1"/>
    <col min="7419" max="7419" width="11" customWidth="1"/>
    <col min="7420" max="7420" width="30.28515625" customWidth="1"/>
    <col min="7421" max="7421" width="22.85546875" customWidth="1"/>
    <col min="7422" max="7422" width="30.28515625" customWidth="1"/>
    <col min="7423" max="7423" width="17.28515625" customWidth="1"/>
    <col min="7424" max="7424" width="15.42578125" customWidth="1"/>
    <col min="7675" max="7675" width="11" customWidth="1"/>
    <col min="7676" max="7676" width="30.28515625" customWidth="1"/>
    <col min="7677" max="7677" width="22.85546875" customWidth="1"/>
    <col min="7678" max="7678" width="30.28515625" customWidth="1"/>
    <col min="7679" max="7679" width="17.28515625" customWidth="1"/>
    <col min="7680" max="7680" width="15.42578125" customWidth="1"/>
    <col min="7931" max="7931" width="11" customWidth="1"/>
    <col min="7932" max="7932" width="30.28515625" customWidth="1"/>
    <col min="7933" max="7933" width="22.85546875" customWidth="1"/>
    <col min="7934" max="7934" width="30.28515625" customWidth="1"/>
    <col min="7935" max="7935" width="17.28515625" customWidth="1"/>
    <col min="7936" max="7936" width="15.42578125" customWidth="1"/>
    <col min="8187" max="8187" width="11" customWidth="1"/>
    <col min="8188" max="8188" width="30.28515625" customWidth="1"/>
    <col min="8189" max="8189" width="22.85546875" customWidth="1"/>
    <col min="8190" max="8190" width="30.28515625" customWidth="1"/>
    <col min="8191" max="8191" width="17.28515625" customWidth="1"/>
    <col min="8192" max="8192" width="15.42578125" customWidth="1"/>
    <col min="8443" max="8443" width="11" customWidth="1"/>
    <col min="8444" max="8444" width="30.28515625" customWidth="1"/>
    <col min="8445" max="8445" width="22.85546875" customWidth="1"/>
    <col min="8446" max="8446" width="30.28515625" customWidth="1"/>
    <col min="8447" max="8447" width="17.28515625" customWidth="1"/>
    <col min="8448" max="8448" width="15.42578125" customWidth="1"/>
    <col min="8699" max="8699" width="11" customWidth="1"/>
    <col min="8700" max="8700" width="30.28515625" customWidth="1"/>
    <col min="8701" max="8701" width="22.85546875" customWidth="1"/>
    <col min="8702" max="8702" width="30.28515625" customWidth="1"/>
    <col min="8703" max="8703" width="17.28515625" customWidth="1"/>
    <col min="8704" max="8704" width="15.42578125" customWidth="1"/>
    <col min="8955" max="8955" width="11" customWidth="1"/>
    <col min="8956" max="8956" width="30.28515625" customWidth="1"/>
    <col min="8957" max="8957" width="22.85546875" customWidth="1"/>
    <col min="8958" max="8958" width="30.28515625" customWidth="1"/>
    <col min="8959" max="8959" width="17.28515625" customWidth="1"/>
    <col min="8960" max="8960" width="15.42578125" customWidth="1"/>
    <col min="9211" max="9211" width="11" customWidth="1"/>
    <col min="9212" max="9212" width="30.28515625" customWidth="1"/>
    <col min="9213" max="9213" width="22.85546875" customWidth="1"/>
    <col min="9214" max="9214" width="30.28515625" customWidth="1"/>
    <col min="9215" max="9215" width="17.28515625" customWidth="1"/>
    <col min="9216" max="9216" width="15.42578125" customWidth="1"/>
    <col min="9467" max="9467" width="11" customWidth="1"/>
    <col min="9468" max="9468" width="30.28515625" customWidth="1"/>
    <col min="9469" max="9469" width="22.85546875" customWidth="1"/>
    <col min="9470" max="9470" width="30.28515625" customWidth="1"/>
    <col min="9471" max="9471" width="17.28515625" customWidth="1"/>
    <col min="9472" max="9472" width="15.42578125" customWidth="1"/>
    <col min="9723" max="9723" width="11" customWidth="1"/>
    <col min="9724" max="9724" width="30.28515625" customWidth="1"/>
    <col min="9725" max="9725" width="22.85546875" customWidth="1"/>
    <col min="9726" max="9726" width="30.28515625" customWidth="1"/>
    <col min="9727" max="9727" width="17.28515625" customWidth="1"/>
    <col min="9728" max="9728" width="15.42578125" customWidth="1"/>
    <col min="9979" max="9979" width="11" customWidth="1"/>
    <col min="9980" max="9980" width="30.28515625" customWidth="1"/>
    <col min="9981" max="9981" width="22.85546875" customWidth="1"/>
    <col min="9982" max="9982" width="30.28515625" customWidth="1"/>
    <col min="9983" max="9983" width="17.28515625" customWidth="1"/>
    <col min="9984" max="9984" width="15.42578125" customWidth="1"/>
    <col min="10235" max="10235" width="11" customWidth="1"/>
    <col min="10236" max="10236" width="30.28515625" customWidth="1"/>
    <col min="10237" max="10237" width="22.85546875" customWidth="1"/>
    <col min="10238" max="10238" width="30.28515625" customWidth="1"/>
    <col min="10239" max="10239" width="17.28515625" customWidth="1"/>
    <col min="10240" max="10240" width="15.42578125" customWidth="1"/>
    <col min="10491" max="10491" width="11" customWidth="1"/>
    <col min="10492" max="10492" width="30.28515625" customWidth="1"/>
    <col min="10493" max="10493" width="22.85546875" customWidth="1"/>
    <col min="10494" max="10494" width="30.28515625" customWidth="1"/>
    <col min="10495" max="10495" width="17.28515625" customWidth="1"/>
    <col min="10496" max="10496" width="15.42578125" customWidth="1"/>
    <col min="10747" max="10747" width="11" customWidth="1"/>
    <col min="10748" max="10748" width="30.28515625" customWidth="1"/>
    <col min="10749" max="10749" width="22.85546875" customWidth="1"/>
    <col min="10750" max="10750" width="30.28515625" customWidth="1"/>
    <col min="10751" max="10751" width="17.28515625" customWidth="1"/>
    <col min="10752" max="10752" width="15.42578125" customWidth="1"/>
    <col min="11003" max="11003" width="11" customWidth="1"/>
    <col min="11004" max="11004" width="30.28515625" customWidth="1"/>
    <col min="11005" max="11005" width="22.85546875" customWidth="1"/>
    <col min="11006" max="11006" width="30.28515625" customWidth="1"/>
    <col min="11007" max="11007" width="17.28515625" customWidth="1"/>
    <col min="11008" max="11008" width="15.42578125" customWidth="1"/>
    <col min="11259" max="11259" width="11" customWidth="1"/>
    <col min="11260" max="11260" width="30.28515625" customWidth="1"/>
    <col min="11261" max="11261" width="22.85546875" customWidth="1"/>
    <col min="11262" max="11262" width="30.28515625" customWidth="1"/>
    <col min="11263" max="11263" width="17.28515625" customWidth="1"/>
    <col min="11264" max="11264" width="15.42578125" customWidth="1"/>
    <col min="11515" max="11515" width="11" customWidth="1"/>
    <col min="11516" max="11516" width="30.28515625" customWidth="1"/>
    <col min="11517" max="11517" width="22.85546875" customWidth="1"/>
    <col min="11518" max="11518" width="30.28515625" customWidth="1"/>
    <col min="11519" max="11519" width="17.28515625" customWidth="1"/>
    <col min="11520" max="11520" width="15.42578125" customWidth="1"/>
    <col min="11771" max="11771" width="11" customWidth="1"/>
    <col min="11772" max="11772" width="30.28515625" customWidth="1"/>
    <col min="11773" max="11773" width="22.85546875" customWidth="1"/>
    <col min="11774" max="11774" width="30.28515625" customWidth="1"/>
    <col min="11775" max="11775" width="17.28515625" customWidth="1"/>
    <col min="11776" max="11776" width="15.42578125" customWidth="1"/>
    <col min="12027" max="12027" width="11" customWidth="1"/>
    <col min="12028" max="12028" width="30.28515625" customWidth="1"/>
    <col min="12029" max="12029" width="22.85546875" customWidth="1"/>
    <col min="12030" max="12030" width="30.28515625" customWidth="1"/>
    <col min="12031" max="12031" width="17.28515625" customWidth="1"/>
    <col min="12032" max="12032" width="15.42578125" customWidth="1"/>
    <col min="12283" max="12283" width="11" customWidth="1"/>
    <col min="12284" max="12284" width="30.28515625" customWidth="1"/>
    <col min="12285" max="12285" width="22.85546875" customWidth="1"/>
    <col min="12286" max="12286" width="30.28515625" customWidth="1"/>
    <col min="12287" max="12287" width="17.28515625" customWidth="1"/>
    <col min="12288" max="12288" width="15.42578125" customWidth="1"/>
    <col min="12539" max="12539" width="11" customWidth="1"/>
    <col min="12540" max="12540" width="30.28515625" customWidth="1"/>
    <col min="12541" max="12541" width="22.85546875" customWidth="1"/>
    <col min="12542" max="12542" width="30.28515625" customWidth="1"/>
    <col min="12543" max="12543" width="17.28515625" customWidth="1"/>
    <col min="12544" max="12544" width="15.42578125" customWidth="1"/>
    <col min="12795" max="12795" width="11" customWidth="1"/>
    <col min="12796" max="12796" width="30.28515625" customWidth="1"/>
    <col min="12797" max="12797" width="22.85546875" customWidth="1"/>
    <col min="12798" max="12798" width="30.28515625" customWidth="1"/>
    <col min="12799" max="12799" width="17.28515625" customWidth="1"/>
    <col min="12800" max="12800" width="15.42578125" customWidth="1"/>
    <col min="13051" max="13051" width="11" customWidth="1"/>
    <col min="13052" max="13052" width="30.28515625" customWidth="1"/>
    <col min="13053" max="13053" width="22.85546875" customWidth="1"/>
    <col min="13054" max="13054" width="30.28515625" customWidth="1"/>
    <col min="13055" max="13055" width="17.28515625" customWidth="1"/>
    <col min="13056" max="13056" width="15.42578125" customWidth="1"/>
    <col min="13307" max="13307" width="11" customWidth="1"/>
    <col min="13308" max="13308" width="30.28515625" customWidth="1"/>
    <col min="13309" max="13309" width="22.85546875" customWidth="1"/>
    <col min="13310" max="13310" width="30.28515625" customWidth="1"/>
    <col min="13311" max="13311" width="17.28515625" customWidth="1"/>
    <col min="13312" max="13312" width="15.42578125" customWidth="1"/>
    <col min="13563" max="13563" width="11" customWidth="1"/>
    <col min="13564" max="13564" width="30.28515625" customWidth="1"/>
    <col min="13565" max="13565" width="22.85546875" customWidth="1"/>
    <col min="13566" max="13566" width="30.28515625" customWidth="1"/>
    <col min="13567" max="13567" width="17.28515625" customWidth="1"/>
    <col min="13568" max="13568" width="15.42578125" customWidth="1"/>
    <col min="13819" max="13819" width="11" customWidth="1"/>
    <col min="13820" max="13820" width="30.28515625" customWidth="1"/>
    <col min="13821" max="13821" width="22.85546875" customWidth="1"/>
    <col min="13822" max="13822" width="30.28515625" customWidth="1"/>
    <col min="13823" max="13823" width="17.28515625" customWidth="1"/>
    <col min="13824" max="13824" width="15.42578125" customWidth="1"/>
    <col min="14075" max="14075" width="11" customWidth="1"/>
    <col min="14076" max="14076" width="30.28515625" customWidth="1"/>
    <col min="14077" max="14077" width="22.85546875" customWidth="1"/>
    <col min="14078" max="14078" width="30.28515625" customWidth="1"/>
    <col min="14079" max="14079" width="17.28515625" customWidth="1"/>
    <col min="14080" max="14080" width="15.42578125" customWidth="1"/>
    <col min="14331" max="14331" width="11" customWidth="1"/>
    <col min="14332" max="14332" width="30.28515625" customWidth="1"/>
    <col min="14333" max="14333" width="22.85546875" customWidth="1"/>
    <col min="14334" max="14334" width="30.28515625" customWidth="1"/>
    <col min="14335" max="14335" width="17.28515625" customWidth="1"/>
    <col min="14336" max="14336" width="15.42578125" customWidth="1"/>
    <col min="14587" max="14587" width="11" customWidth="1"/>
    <col min="14588" max="14588" width="30.28515625" customWidth="1"/>
    <col min="14589" max="14589" width="22.85546875" customWidth="1"/>
    <col min="14590" max="14590" width="30.28515625" customWidth="1"/>
    <col min="14591" max="14591" width="17.28515625" customWidth="1"/>
    <col min="14592" max="14592" width="15.42578125" customWidth="1"/>
    <col min="14843" max="14843" width="11" customWidth="1"/>
    <col min="14844" max="14844" width="30.28515625" customWidth="1"/>
    <col min="14845" max="14845" width="22.85546875" customWidth="1"/>
    <col min="14846" max="14846" width="30.28515625" customWidth="1"/>
    <col min="14847" max="14847" width="17.28515625" customWidth="1"/>
    <col min="14848" max="14848" width="15.42578125" customWidth="1"/>
    <col min="15099" max="15099" width="11" customWidth="1"/>
    <col min="15100" max="15100" width="30.28515625" customWidth="1"/>
    <col min="15101" max="15101" width="22.85546875" customWidth="1"/>
    <col min="15102" max="15102" width="30.28515625" customWidth="1"/>
    <col min="15103" max="15103" width="17.28515625" customWidth="1"/>
    <col min="15104" max="15104" width="15.42578125" customWidth="1"/>
    <col min="15355" max="15355" width="11" customWidth="1"/>
    <col min="15356" max="15356" width="30.28515625" customWidth="1"/>
    <col min="15357" max="15357" width="22.85546875" customWidth="1"/>
    <col min="15358" max="15358" width="30.28515625" customWidth="1"/>
    <col min="15359" max="15359" width="17.28515625" customWidth="1"/>
    <col min="15360" max="15360" width="15.42578125" customWidth="1"/>
    <col min="15611" max="15611" width="11" customWidth="1"/>
    <col min="15612" max="15612" width="30.28515625" customWidth="1"/>
    <col min="15613" max="15613" width="22.85546875" customWidth="1"/>
    <col min="15614" max="15614" width="30.28515625" customWidth="1"/>
    <col min="15615" max="15615" width="17.28515625" customWidth="1"/>
    <col min="15616" max="15616" width="15.42578125" customWidth="1"/>
    <col min="15867" max="15867" width="11" customWidth="1"/>
    <col min="15868" max="15868" width="30.28515625" customWidth="1"/>
    <col min="15869" max="15869" width="22.85546875" customWidth="1"/>
    <col min="15870" max="15870" width="30.28515625" customWidth="1"/>
    <col min="15871" max="15871" width="17.28515625" customWidth="1"/>
    <col min="15872" max="15872" width="15.42578125" customWidth="1"/>
    <col min="16123" max="16123" width="11" customWidth="1"/>
    <col min="16124" max="16124" width="30.28515625" customWidth="1"/>
    <col min="16125" max="16125" width="22.85546875" customWidth="1"/>
    <col min="16126" max="16126" width="30.28515625" customWidth="1"/>
    <col min="16127" max="16127" width="17.28515625" customWidth="1"/>
    <col min="16128" max="16128" width="15.42578125" customWidth="1"/>
  </cols>
  <sheetData>
    <row r="1" spans="1:9" ht="29.25" thickBot="1" x14ac:dyDescent="0.3">
      <c r="A1" s="528" t="s">
        <v>1118</v>
      </c>
      <c r="B1" s="529"/>
      <c r="C1" s="529"/>
      <c r="D1" s="529"/>
      <c r="E1" s="529"/>
      <c r="F1" s="530"/>
    </row>
    <row r="2" spans="1:9" ht="84.75" thickBot="1" x14ac:dyDescent="0.3">
      <c r="A2" s="347" t="s">
        <v>1113</v>
      </c>
      <c r="B2" s="347" t="s">
        <v>1114</v>
      </c>
      <c r="C2" s="347" t="s">
        <v>1115</v>
      </c>
      <c r="D2" s="347" t="s">
        <v>1116</v>
      </c>
      <c r="E2" s="347" t="s">
        <v>217</v>
      </c>
      <c r="F2" s="347" t="s">
        <v>222</v>
      </c>
    </row>
    <row r="3" spans="1:9" ht="21.6" customHeight="1" x14ac:dyDescent="0.25">
      <c r="A3" s="313">
        <v>1</v>
      </c>
      <c r="B3" s="348" t="s">
        <v>614</v>
      </c>
      <c r="C3" s="349">
        <v>5</v>
      </c>
      <c r="D3" s="349"/>
      <c r="E3" s="349"/>
      <c r="F3" s="339">
        <f>D3/C3</f>
        <v>0</v>
      </c>
      <c r="I3" s="269"/>
    </row>
    <row r="4" spans="1:9" ht="21.6" customHeight="1" x14ac:dyDescent="0.25">
      <c r="A4" s="312">
        <v>2</v>
      </c>
      <c r="B4" s="350" t="s">
        <v>207</v>
      </c>
      <c r="C4" s="351">
        <v>4</v>
      </c>
      <c r="D4" s="351"/>
      <c r="E4" s="351"/>
      <c r="F4" s="340">
        <f t="shared" ref="F4:F12" si="0">D4/C4</f>
        <v>0</v>
      </c>
    </row>
    <row r="5" spans="1:9" ht="21.6" customHeight="1" x14ac:dyDescent="0.25">
      <c r="A5" s="312">
        <v>3</v>
      </c>
      <c r="B5" s="350" t="s">
        <v>152</v>
      </c>
      <c r="C5" s="351">
        <v>13</v>
      </c>
      <c r="D5" s="351">
        <v>2</v>
      </c>
      <c r="E5" s="351">
        <v>1</v>
      </c>
      <c r="F5" s="340">
        <f t="shared" si="0"/>
        <v>0.15384615384615385</v>
      </c>
    </row>
    <row r="6" spans="1:9" ht="21.6" customHeight="1" x14ac:dyDescent="0.25">
      <c r="A6" s="312">
        <v>4</v>
      </c>
      <c r="B6" s="350" t="s">
        <v>615</v>
      </c>
      <c r="C6" s="351">
        <v>5</v>
      </c>
      <c r="D6" s="351"/>
      <c r="E6" s="351">
        <v>1</v>
      </c>
      <c r="F6" s="340">
        <f t="shared" si="0"/>
        <v>0</v>
      </c>
    </row>
    <row r="7" spans="1:9" ht="21.6" customHeight="1" x14ac:dyDescent="0.25">
      <c r="A7" s="312">
        <v>5</v>
      </c>
      <c r="B7" s="350" t="s">
        <v>616</v>
      </c>
      <c r="C7" s="351">
        <v>3</v>
      </c>
      <c r="D7" s="351"/>
      <c r="E7" s="351"/>
      <c r="F7" s="340">
        <f t="shared" si="0"/>
        <v>0</v>
      </c>
    </row>
    <row r="8" spans="1:9" ht="21.6" customHeight="1" x14ac:dyDescent="0.25">
      <c r="A8" s="312">
        <v>6</v>
      </c>
      <c r="B8" s="350" t="s">
        <v>617</v>
      </c>
      <c r="C8" s="351">
        <v>15</v>
      </c>
      <c r="D8" s="351">
        <v>2</v>
      </c>
      <c r="E8" s="351">
        <v>1</v>
      </c>
      <c r="F8" s="340">
        <f t="shared" si="0"/>
        <v>0.13333333333333333</v>
      </c>
    </row>
    <row r="9" spans="1:9" ht="27.6" customHeight="1" x14ac:dyDescent="0.25">
      <c r="A9" s="312">
        <v>7</v>
      </c>
      <c r="B9" s="350" t="s">
        <v>618</v>
      </c>
      <c r="C9" s="351">
        <v>53</v>
      </c>
      <c r="D9" s="351">
        <v>10</v>
      </c>
      <c r="E9" s="351">
        <v>5</v>
      </c>
      <c r="F9" s="340">
        <f t="shared" si="0"/>
        <v>0.18867924528301888</v>
      </c>
    </row>
    <row r="10" spans="1:9" ht="21.6" customHeight="1" x14ac:dyDescent="0.25">
      <c r="A10" s="312">
        <v>8</v>
      </c>
      <c r="B10" s="350" t="s">
        <v>654</v>
      </c>
      <c r="C10" s="351">
        <v>6</v>
      </c>
      <c r="D10" s="351">
        <v>1</v>
      </c>
      <c r="E10" s="351">
        <v>1</v>
      </c>
      <c r="F10" s="340">
        <f t="shared" si="0"/>
        <v>0.16666666666666666</v>
      </c>
    </row>
    <row r="11" spans="1:9" ht="21.6" customHeight="1" x14ac:dyDescent="0.25">
      <c r="A11" s="312">
        <v>9</v>
      </c>
      <c r="B11" s="350" t="s">
        <v>1119</v>
      </c>
      <c r="C11" s="351">
        <v>8</v>
      </c>
      <c r="D11" s="351">
        <v>2</v>
      </c>
      <c r="E11" s="351">
        <v>1</v>
      </c>
      <c r="F11" s="340">
        <f t="shared" si="0"/>
        <v>0.25</v>
      </c>
    </row>
    <row r="12" spans="1:9" ht="21.6" customHeight="1" thickBot="1" x14ac:dyDescent="0.3">
      <c r="A12" s="312">
        <v>10</v>
      </c>
      <c r="B12" s="352" t="s">
        <v>1120</v>
      </c>
      <c r="C12" s="353">
        <v>2</v>
      </c>
      <c r="D12" s="353"/>
      <c r="E12" s="351"/>
      <c r="F12" s="340">
        <f t="shared" si="0"/>
        <v>0</v>
      </c>
    </row>
    <row r="13" spans="1:9" ht="21.6" customHeight="1" thickBot="1" x14ac:dyDescent="0.3">
      <c r="A13" s="343">
        <v>11</v>
      </c>
      <c r="B13" s="533" t="s">
        <v>217</v>
      </c>
      <c r="C13" s="534"/>
      <c r="D13" s="535"/>
      <c r="E13" s="356">
        <v>2</v>
      </c>
      <c r="F13" s="341"/>
    </row>
    <row r="14" spans="1:9" ht="24.6" customHeight="1" thickBot="1" x14ac:dyDescent="0.3">
      <c r="A14" s="531" t="s">
        <v>1117</v>
      </c>
      <c r="B14" s="532"/>
      <c r="C14" s="354">
        <f>SUM(C3:C13)</f>
        <v>114</v>
      </c>
      <c r="D14" s="354">
        <f t="shared" ref="D14:E14" si="1">SUM(D3:D13)</f>
        <v>17</v>
      </c>
      <c r="E14" s="354">
        <f t="shared" si="1"/>
        <v>12</v>
      </c>
      <c r="F14" s="355">
        <f>SUM(D14/C14)</f>
        <v>0.14912280701754385</v>
      </c>
    </row>
  </sheetData>
  <mergeCells count="3">
    <mergeCell ref="A1:F1"/>
    <mergeCell ref="A14:B14"/>
    <mergeCell ref="B13:D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H111"/>
  <sheetViews>
    <sheetView zoomScale="70" zoomScaleNormal="70" workbookViewId="0">
      <pane ySplit="3" topLeftCell="A5" activePane="bottomLeft" state="frozen"/>
      <selection activeCell="BG4" sqref="BG4:BL54"/>
      <selection pane="bottomLeft" activeCell="B8" sqref="B8"/>
    </sheetView>
  </sheetViews>
  <sheetFormatPr defaultColWidth="9.140625" defaultRowHeight="18.75" x14ac:dyDescent="0.25"/>
  <cols>
    <col min="1" max="1" width="8.42578125" style="35" customWidth="1"/>
    <col min="2" max="2" width="35.5703125" style="44" customWidth="1"/>
    <col min="3" max="3" width="45.42578125" style="44" hidden="1" customWidth="1"/>
    <col min="4" max="4" width="26.85546875" style="45" customWidth="1"/>
    <col min="5" max="5" width="20.42578125" style="45" customWidth="1"/>
    <col min="6" max="6" width="21.85546875" style="45" customWidth="1"/>
    <col min="7" max="7" width="13.140625" style="46" customWidth="1"/>
    <col min="8" max="8" width="8.5703125" style="47" customWidth="1"/>
    <col min="9" max="14" width="6.5703125" style="35" customWidth="1"/>
    <col min="15" max="20" width="4.42578125" style="35" hidden="1" customWidth="1"/>
    <col min="21" max="50" width="6.5703125" style="35" hidden="1" customWidth="1"/>
    <col min="51" max="56" width="5.85546875" style="35" hidden="1" customWidth="1"/>
    <col min="57" max="80" width="6.5703125" style="35" hidden="1" customWidth="1"/>
    <col min="81" max="81" width="7.5703125" style="35" customWidth="1"/>
    <col min="82" max="82" width="22.7109375" style="35" customWidth="1"/>
    <col min="83" max="83" width="24.140625" style="46" customWidth="1"/>
    <col min="84" max="84" width="35.140625" style="45" customWidth="1"/>
    <col min="85" max="85" width="9.140625" style="35"/>
    <col min="86" max="86" width="34.5703125" style="35" customWidth="1"/>
    <col min="87" max="16384" width="9.140625" style="35"/>
  </cols>
  <sheetData>
    <row r="1" spans="1:86" ht="34.5" customHeight="1" thickBot="1" x14ac:dyDescent="0.3">
      <c r="A1" s="406" t="s">
        <v>209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  <c r="BY1" s="406"/>
      <c r="BZ1" s="406"/>
      <c r="CA1" s="406"/>
      <c r="CB1" s="406"/>
      <c r="CC1" s="406"/>
      <c r="CD1" s="406"/>
      <c r="CE1" s="406"/>
      <c r="CF1" s="406"/>
      <c r="CG1" s="406"/>
    </row>
    <row r="2" spans="1:86" ht="20.25" customHeight="1" thickBot="1" x14ac:dyDescent="0.3">
      <c r="A2" s="548" t="s">
        <v>16</v>
      </c>
      <c r="B2" s="543" t="s">
        <v>0</v>
      </c>
      <c r="C2" s="543" t="s">
        <v>151</v>
      </c>
      <c r="D2" s="536" t="s">
        <v>2</v>
      </c>
      <c r="E2" s="536" t="s">
        <v>56</v>
      </c>
      <c r="F2" s="536" t="s">
        <v>1</v>
      </c>
      <c r="G2" s="536" t="s">
        <v>3</v>
      </c>
      <c r="H2" s="536" t="s">
        <v>17</v>
      </c>
      <c r="I2" s="543" t="s">
        <v>101</v>
      </c>
      <c r="J2" s="543"/>
      <c r="K2" s="543"/>
      <c r="L2" s="543" t="s">
        <v>41</v>
      </c>
      <c r="M2" s="543"/>
      <c r="N2" s="543"/>
      <c r="O2" s="543" t="s">
        <v>102</v>
      </c>
      <c r="P2" s="543"/>
      <c r="Q2" s="543"/>
      <c r="R2" s="543" t="s">
        <v>43</v>
      </c>
      <c r="S2" s="543"/>
      <c r="T2" s="543"/>
      <c r="U2" s="543" t="s">
        <v>103</v>
      </c>
      <c r="V2" s="543"/>
      <c r="W2" s="543"/>
      <c r="X2" s="543" t="s">
        <v>104</v>
      </c>
      <c r="Y2" s="543"/>
      <c r="Z2" s="543"/>
      <c r="AA2" s="543" t="s">
        <v>106</v>
      </c>
      <c r="AB2" s="543"/>
      <c r="AC2" s="543"/>
      <c r="AD2" s="543" t="s">
        <v>107</v>
      </c>
      <c r="AE2" s="543"/>
      <c r="AF2" s="543"/>
      <c r="AG2" s="543" t="s">
        <v>37</v>
      </c>
      <c r="AH2" s="543"/>
      <c r="AI2" s="543"/>
      <c r="AJ2" s="543" t="s">
        <v>108</v>
      </c>
      <c r="AK2" s="543"/>
      <c r="AL2" s="543"/>
      <c r="AM2" s="543" t="s">
        <v>110</v>
      </c>
      <c r="AN2" s="543"/>
      <c r="AO2" s="543"/>
      <c r="AP2" s="543" t="s">
        <v>111</v>
      </c>
      <c r="AQ2" s="543"/>
      <c r="AR2" s="543"/>
      <c r="AS2" s="543" t="s">
        <v>115</v>
      </c>
      <c r="AT2" s="543"/>
      <c r="AU2" s="543"/>
      <c r="AV2" s="543" t="s">
        <v>48</v>
      </c>
      <c r="AW2" s="543"/>
      <c r="AX2" s="543"/>
      <c r="AY2" s="543" t="s">
        <v>113</v>
      </c>
      <c r="AZ2" s="543"/>
      <c r="BA2" s="543"/>
      <c r="BB2" s="543" t="s">
        <v>114</v>
      </c>
      <c r="BC2" s="543"/>
      <c r="BD2" s="543"/>
      <c r="BE2" s="543" t="s">
        <v>124</v>
      </c>
      <c r="BF2" s="543"/>
      <c r="BG2" s="543"/>
      <c r="BH2" s="543" t="s">
        <v>52</v>
      </c>
      <c r="BI2" s="543"/>
      <c r="BJ2" s="544"/>
      <c r="BK2" s="546" t="s">
        <v>54</v>
      </c>
      <c r="BL2" s="541"/>
      <c r="BM2" s="541"/>
      <c r="BN2" s="541" t="s">
        <v>53</v>
      </c>
      <c r="BO2" s="541"/>
      <c r="BP2" s="542"/>
      <c r="BQ2" s="546" t="s">
        <v>126</v>
      </c>
      <c r="BR2" s="541"/>
      <c r="BS2" s="541"/>
      <c r="BT2" s="541" t="s">
        <v>125</v>
      </c>
      <c r="BU2" s="541"/>
      <c r="BV2" s="542"/>
      <c r="BW2" s="547" t="s">
        <v>127</v>
      </c>
      <c r="BX2" s="543"/>
      <c r="BY2" s="543"/>
      <c r="BZ2" s="543" t="s">
        <v>128</v>
      </c>
      <c r="CA2" s="543"/>
      <c r="CB2" s="543"/>
      <c r="CC2" s="543" t="s">
        <v>28</v>
      </c>
      <c r="CD2" s="543" t="s">
        <v>10</v>
      </c>
      <c r="CE2" s="536" t="s">
        <v>18</v>
      </c>
      <c r="CF2" s="539" t="s">
        <v>14</v>
      </c>
      <c r="CG2" s="110"/>
      <c r="CH2" s="538" t="s">
        <v>211</v>
      </c>
    </row>
    <row r="3" spans="1:86" ht="24" customHeight="1" thickBot="1" x14ac:dyDescent="0.3">
      <c r="A3" s="549"/>
      <c r="B3" s="545"/>
      <c r="C3" s="545"/>
      <c r="D3" s="537"/>
      <c r="E3" s="537"/>
      <c r="F3" s="537"/>
      <c r="G3" s="537"/>
      <c r="H3" s="537"/>
      <c r="I3" s="108" t="s">
        <v>12</v>
      </c>
      <c r="J3" s="108" t="s">
        <v>13</v>
      </c>
      <c r="K3" s="108" t="s">
        <v>32</v>
      </c>
      <c r="L3" s="108" t="s">
        <v>12</v>
      </c>
      <c r="M3" s="108" t="s">
        <v>13</v>
      </c>
      <c r="N3" s="108" t="s">
        <v>32</v>
      </c>
      <c r="O3" s="108" t="s">
        <v>12</v>
      </c>
      <c r="P3" s="108" t="s">
        <v>13</v>
      </c>
      <c r="Q3" s="108" t="s">
        <v>32</v>
      </c>
      <c r="R3" s="108" t="s">
        <v>12</v>
      </c>
      <c r="S3" s="108" t="s">
        <v>13</v>
      </c>
      <c r="T3" s="108" t="s">
        <v>32</v>
      </c>
      <c r="U3" s="108" t="s">
        <v>12</v>
      </c>
      <c r="V3" s="108" t="s">
        <v>13</v>
      </c>
      <c r="W3" s="108" t="s">
        <v>32</v>
      </c>
      <c r="X3" s="108" t="s">
        <v>12</v>
      </c>
      <c r="Y3" s="108" t="s">
        <v>13</v>
      </c>
      <c r="Z3" s="108" t="s">
        <v>32</v>
      </c>
      <c r="AA3" s="108" t="s">
        <v>12</v>
      </c>
      <c r="AB3" s="108" t="s">
        <v>13</v>
      </c>
      <c r="AC3" s="108" t="s">
        <v>32</v>
      </c>
      <c r="AD3" s="108" t="s">
        <v>12</v>
      </c>
      <c r="AE3" s="108" t="s">
        <v>13</v>
      </c>
      <c r="AF3" s="108" t="s">
        <v>32</v>
      </c>
      <c r="AG3" s="108" t="s">
        <v>12</v>
      </c>
      <c r="AH3" s="108" t="s">
        <v>13</v>
      </c>
      <c r="AI3" s="108" t="s">
        <v>32</v>
      </c>
      <c r="AJ3" s="108" t="s">
        <v>12</v>
      </c>
      <c r="AK3" s="108" t="s">
        <v>13</v>
      </c>
      <c r="AL3" s="108" t="s">
        <v>32</v>
      </c>
      <c r="AM3" s="108" t="s">
        <v>12</v>
      </c>
      <c r="AN3" s="108" t="s">
        <v>13</v>
      </c>
      <c r="AO3" s="108" t="s">
        <v>32</v>
      </c>
      <c r="AP3" s="108" t="s">
        <v>12</v>
      </c>
      <c r="AQ3" s="108" t="s">
        <v>13</v>
      </c>
      <c r="AR3" s="108" t="s">
        <v>32</v>
      </c>
      <c r="AS3" s="108" t="s">
        <v>12</v>
      </c>
      <c r="AT3" s="108" t="s">
        <v>13</v>
      </c>
      <c r="AU3" s="108" t="s">
        <v>32</v>
      </c>
      <c r="AV3" s="108" t="s">
        <v>12</v>
      </c>
      <c r="AW3" s="108" t="s">
        <v>13</v>
      </c>
      <c r="AX3" s="108" t="s">
        <v>32</v>
      </c>
      <c r="AY3" s="108" t="s">
        <v>12</v>
      </c>
      <c r="AZ3" s="108" t="s">
        <v>13</v>
      </c>
      <c r="BA3" s="108" t="s">
        <v>32</v>
      </c>
      <c r="BB3" s="108" t="s">
        <v>12</v>
      </c>
      <c r="BC3" s="108" t="s">
        <v>13</v>
      </c>
      <c r="BD3" s="108" t="s">
        <v>32</v>
      </c>
      <c r="BE3" s="108" t="s">
        <v>12</v>
      </c>
      <c r="BF3" s="108" t="s">
        <v>13</v>
      </c>
      <c r="BG3" s="108" t="s">
        <v>32</v>
      </c>
      <c r="BH3" s="108" t="s">
        <v>12</v>
      </c>
      <c r="BI3" s="108" t="s">
        <v>13</v>
      </c>
      <c r="BJ3" s="111" t="s">
        <v>32</v>
      </c>
      <c r="BK3" s="113" t="s">
        <v>12</v>
      </c>
      <c r="BL3" s="114" t="s">
        <v>13</v>
      </c>
      <c r="BM3" s="114" t="s">
        <v>32</v>
      </c>
      <c r="BN3" s="114" t="s">
        <v>12</v>
      </c>
      <c r="BO3" s="114" t="s">
        <v>13</v>
      </c>
      <c r="BP3" s="115" t="s">
        <v>32</v>
      </c>
      <c r="BQ3" s="113" t="s">
        <v>12</v>
      </c>
      <c r="BR3" s="114" t="s">
        <v>13</v>
      </c>
      <c r="BS3" s="114" t="s">
        <v>32</v>
      </c>
      <c r="BT3" s="114" t="s">
        <v>12</v>
      </c>
      <c r="BU3" s="114" t="s">
        <v>13</v>
      </c>
      <c r="BV3" s="115" t="s">
        <v>32</v>
      </c>
      <c r="BW3" s="112" t="s">
        <v>12</v>
      </c>
      <c r="BX3" s="108" t="s">
        <v>13</v>
      </c>
      <c r="BY3" s="108" t="s">
        <v>32</v>
      </c>
      <c r="BZ3" s="108" t="s">
        <v>12</v>
      </c>
      <c r="CA3" s="108" t="s">
        <v>13</v>
      </c>
      <c r="CB3" s="108" t="s">
        <v>32</v>
      </c>
      <c r="CC3" s="545"/>
      <c r="CD3" s="545"/>
      <c r="CE3" s="537"/>
      <c r="CF3" s="540"/>
      <c r="CG3" s="110"/>
      <c r="CH3" s="538"/>
    </row>
    <row r="4" spans="1:86" ht="89.25" customHeight="1" x14ac:dyDescent="0.25">
      <c r="A4" s="65">
        <v>1</v>
      </c>
      <c r="B4" s="67" t="s">
        <v>142</v>
      </c>
      <c r="C4" s="105" t="s">
        <v>98</v>
      </c>
      <c r="D4" s="68" t="s">
        <v>97</v>
      </c>
      <c r="E4" s="69" t="s">
        <v>91</v>
      </c>
      <c r="F4" s="68" t="s">
        <v>162</v>
      </c>
      <c r="G4" s="69" t="s">
        <v>132</v>
      </c>
      <c r="H4" s="69">
        <v>1000</v>
      </c>
      <c r="I4" s="36"/>
      <c r="J4" s="36"/>
      <c r="K4" s="36"/>
      <c r="L4" s="41"/>
      <c r="M4" s="36"/>
      <c r="N4" s="36"/>
      <c r="O4" s="36"/>
      <c r="P4" s="36"/>
      <c r="Q4" s="36"/>
      <c r="R4" s="41"/>
      <c r="S4" s="36"/>
      <c r="T4" s="36"/>
      <c r="U4" s="36"/>
      <c r="V4" s="36"/>
      <c r="W4" s="36"/>
      <c r="X4" s="36"/>
      <c r="Y4" s="36"/>
      <c r="Z4" s="36"/>
      <c r="AA4" s="41"/>
      <c r="AB4" s="36"/>
      <c r="AC4" s="36"/>
      <c r="AD4" s="41"/>
      <c r="AE4" s="36"/>
      <c r="AF4" s="36"/>
      <c r="AG4" s="41"/>
      <c r="AH4" s="36"/>
      <c r="AI4" s="36"/>
      <c r="AJ4" s="41"/>
      <c r="AK4" s="36"/>
      <c r="AL4" s="36"/>
      <c r="AM4" s="41"/>
      <c r="AN4" s="36"/>
      <c r="AO4" s="36"/>
      <c r="AP4" s="36"/>
      <c r="AQ4" s="36"/>
      <c r="AR4" s="36"/>
      <c r="AS4" s="41"/>
      <c r="AT4" s="36"/>
      <c r="AU4" s="36"/>
      <c r="AV4" s="41"/>
      <c r="AW4" s="36"/>
      <c r="AX4" s="36"/>
      <c r="AY4" s="41"/>
      <c r="AZ4" s="36"/>
      <c r="BA4" s="36"/>
      <c r="BB4" s="36"/>
      <c r="BC4" s="36"/>
      <c r="BD4" s="36"/>
      <c r="BE4" s="41"/>
      <c r="BF4" s="36"/>
      <c r="BG4" s="36"/>
      <c r="BH4" s="41"/>
      <c r="BI4" s="36"/>
      <c r="BJ4" s="36"/>
      <c r="BK4" s="41"/>
      <c r="BL4" s="36"/>
      <c r="BM4" s="36"/>
      <c r="BN4" s="41"/>
      <c r="BO4" s="36"/>
      <c r="BP4" s="36"/>
      <c r="BQ4" s="41"/>
      <c r="BR4" s="36"/>
      <c r="BS4" s="36"/>
      <c r="BT4" s="41"/>
      <c r="BU4" s="36"/>
      <c r="BV4" s="36"/>
      <c r="BW4" s="36"/>
      <c r="BX4" s="36"/>
      <c r="BY4" s="36"/>
      <c r="BZ4" s="25"/>
      <c r="CA4" s="36"/>
      <c r="CB4" s="36"/>
      <c r="CC4" s="100">
        <f t="shared" ref="CC4:CC29" si="0">COUNTA(I4:CB4)</f>
        <v>0</v>
      </c>
      <c r="CD4" s="117"/>
      <c r="CE4" s="51"/>
      <c r="CF4" s="24"/>
      <c r="CG4" s="42" t="str">
        <f t="shared" ref="CG4:CG13" si="1">IF(CC4&lt;=0,"0",IF(CC4=1,"1",IF(CC4=2,"2",IF(CC4=3,"3",IF(CC4&gt;=4,"4")))))</f>
        <v>0</v>
      </c>
      <c r="CH4" s="37"/>
    </row>
    <row r="5" spans="1:86" ht="89.25" customHeight="1" x14ac:dyDescent="0.25">
      <c r="A5" s="66">
        <v>2</v>
      </c>
      <c r="B5" s="39" t="s">
        <v>178</v>
      </c>
      <c r="C5" s="70"/>
      <c r="D5" s="62" t="s">
        <v>185</v>
      </c>
      <c r="E5" s="50" t="s">
        <v>186</v>
      </c>
      <c r="F5" s="62" t="s">
        <v>202</v>
      </c>
      <c r="G5" s="50" t="s">
        <v>132</v>
      </c>
      <c r="H5" s="50">
        <v>3000</v>
      </c>
      <c r="I5" s="37"/>
      <c r="J5" s="37"/>
      <c r="K5" s="37"/>
      <c r="L5" s="25"/>
      <c r="M5" s="37"/>
      <c r="N5" s="37"/>
      <c r="O5" s="37"/>
      <c r="P5" s="37"/>
      <c r="Q5" s="37"/>
      <c r="R5" s="25"/>
      <c r="S5" s="37"/>
      <c r="T5" s="37"/>
      <c r="U5" s="37"/>
      <c r="V5" s="37"/>
      <c r="W5" s="37"/>
      <c r="X5" s="37"/>
      <c r="Y5" s="37"/>
      <c r="Z5" s="37"/>
      <c r="AA5" s="25"/>
      <c r="AB5" s="37"/>
      <c r="AC5" s="37"/>
      <c r="AD5" s="25"/>
      <c r="AE5" s="37"/>
      <c r="AF5" s="37"/>
      <c r="AG5" s="25"/>
      <c r="AH5" s="37"/>
      <c r="AI5" s="37"/>
      <c r="AJ5" s="25"/>
      <c r="AK5" s="37"/>
      <c r="AL5" s="37"/>
      <c r="AM5" s="25"/>
      <c r="AN5" s="37"/>
      <c r="AO5" s="37"/>
      <c r="AP5" s="37"/>
      <c r="AQ5" s="37"/>
      <c r="AR5" s="37"/>
      <c r="AS5" s="25"/>
      <c r="AT5" s="37"/>
      <c r="AU5" s="37"/>
      <c r="AV5" s="25"/>
      <c r="AW5" s="37"/>
      <c r="AX5" s="37"/>
      <c r="AY5" s="25"/>
      <c r="AZ5" s="37"/>
      <c r="BA5" s="37"/>
      <c r="BB5" s="37"/>
      <c r="BC5" s="37"/>
      <c r="BD5" s="37"/>
      <c r="BE5" s="25"/>
      <c r="BF5" s="37"/>
      <c r="BG5" s="37"/>
      <c r="BH5" s="37"/>
      <c r="BI5" s="37"/>
      <c r="BJ5" s="37"/>
      <c r="BK5" s="25"/>
      <c r="BL5" s="37"/>
      <c r="BM5" s="37"/>
      <c r="BN5" s="25"/>
      <c r="BO5" s="37"/>
      <c r="BP5" s="37"/>
      <c r="BQ5" s="25"/>
      <c r="BR5" s="37"/>
      <c r="BS5" s="37"/>
      <c r="BT5" s="25"/>
      <c r="BU5" s="37"/>
      <c r="BV5" s="37"/>
      <c r="BW5" s="37"/>
      <c r="BX5" s="37"/>
      <c r="BY5" s="37"/>
      <c r="BZ5" s="37"/>
      <c r="CA5" s="37"/>
      <c r="CB5" s="37"/>
      <c r="CC5" s="100">
        <f t="shared" si="0"/>
        <v>0</v>
      </c>
      <c r="CD5" s="37"/>
      <c r="CE5" s="26"/>
      <c r="CF5" s="20"/>
      <c r="CG5" s="42" t="str">
        <f t="shared" si="1"/>
        <v>0</v>
      </c>
      <c r="CH5" s="37"/>
    </row>
    <row r="6" spans="1:86" ht="67.5" customHeight="1" x14ac:dyDescent="0.25">
      <c r="A6" s="66">
        <v>3</v>
      </c>
      <c r="B6" s="39" t="s">
        <v>99</v>
      </c>
      <c r="C6" s="39"/>
      <c r="D6" s="62" t="s">
        <v>100</v>
      </c>
      <c r="E6" s="50">
        <v>9944757057</v>
      </c>
      <c r="F6" s="62" t="s">
        <v>19</v>
      </c>
      <c r="G6" s="50" t="s">
        <v>132</v>
      </c>
      <c r="H6" s="50">
        <v>1200</v>
      </c>
      <c r="I6" s="37"/>
      <c r="J6" s="37"/>
      <c r="K6" s="37"/>
      <c r="L6" s="25"/>
      <c r="M6" s="37"/>
      <c r="N6" s="37"/>
      <c r="O6" s="25"/>
      <c r="P6" s="37"/>
      <c r="Q6" s="37"/>
      <c r="R6" s="25"/>
      <c r="S6" s="37"/>
      <c r="T6" s="37"/>
      <c r="U6" s="37"/>
      <c r="V6" s="37"/>
      <c r="W6" s="37"/>
      <c r="X6" s="37"/>
      <c r="Y6" s="37"/>
      <c r="Z6" s="37"/>
      <c r="AA6" s="25"/>
      <c r="AB6" s="37"/>
      <c r="AC6" s="37"/>
      <c r="AD6" s="25"/>
      <c r="AE6" s="37"/>
      <c r="AF6" s="37"/>
      <c r="AG6" s="25"/>
      <c r="AH6" s="37"/>
      <c r="AI6" s="37"/>
      <c r="AJ6" s="25"/>
      <c r="AK6" s="37"/>
      <c r="AL6" s="37"/>
      <c r="AM6" s="25"/>
      <c r="AN6" s="37"/>
      <c r="AO6" s="37"/>
      <c r="AP6" s="25"/>
      <c r="AQ6" s="37"/>
      <c r="AR6" s="37"/>
      <c r="AS6" s="25"/>
      <c r="AT6" s="37"/>
      <c r="AU6" s="37"/>
      <c r="AV6" s="37"/>
      <c r="AW6" s="37"/>
      <c r="AX6" s="37"/>
      <c r="AY6" s="25"/>
      <c r="AZ6" s="37"/>
      <c r="BA6" s="37"/>
      <c r="BB6" s="37"/>
      <c r="BC6" s="37"/>
      <c r="BD6" s="37"/>
      <c r="BE6" s="25"/>
      <c r="BF6" s="37"/>
      <c r="BG6" s="37"/>
      <c r="BH6" s="25"/>
      <c r="BI6" s="37"/>
      <c r="BJ6" s="37"/>
      <c r="BK6" s="25"/>
      <c r="BL6" s="37"/>
      <c r="BM6" s="37"/>
      <c r="BN6" s="25"/>
      <c r="BO6" s="37"/>
      <c r="BP6" s="37"/>
      <c r="BQ6" s="25"/>
      <c r="BR6" s="37"/>
      <c r="BS6" s="37"/>
      <c r="BT6" s="25"/>
      <c r="BU6" s="37"/>
      <c r="BV6" s="37"/>
      <c r="BW6" s="43"/>
      <c r="BX6" s="37"/>
      <c r="BY6" s="37"/>
      <c r="BZ6" s="25"/>
      <c r="CA6" s="37"/>
      <c r="CB6" s="37"/>
      <c r="CC6" s="100">
        <f t="shared" si="0"/>
        <v>0</v>
      </c>
      <c r="CD6" s="117"/>
      <c r="CE6" s="26"/>
      <c r="CF6" s="20"/>
      <c r="CG6" s="42" t="str">
        <f t="shared" si="1"/>
        <v>0</v>
      </c>
      <c r="CH6" s="37"/>
    </row>
    <row r="7" spans="1:86" ht="67.5" customHeight="1" x14ac:dyDescent="0.25">
      <c r="A7" s="66">
        <v>4</v>
      </c>
      <c r="B7" s="39" t="s">
        <v>163</v>
      </c>
      <c r="C7" s="70"/>
      <c r="D7" s="62" t="s">
        <v>62</v>
      </c>
      <c r="E7" s="50" t="s">
        <v>64</v>
      </c>
      <c r="F7" s="62" t="s">
        <v>208</v>
      </c>
      <c r="G7" s="50" t="s">
        <v>132</v>
      </c>
      <c r="H7" s="50">
        <v>800</v>
      </c>
      <c r="I7" s="37"/>
      <c r="J7" s="37"/>
      <c r="K7" s="37"/>
      <c r="L7" s="37"/>
      <c r="M7" s="37"/>
      <c r="N7" s="37"/>
      <c r="O7" s="25"/>
      <c r="P7" s="37"/>
      <c r="Q7" s="37"/>
      <c r="R7" s="25"/>
      <c r="S7" s="37"/>
      <c r="T7" s="37"/>
      <c r="U7" s="37"/>
      <c r="V7" s="37"/>
      <c r="W7" s="37"/>
      <c r="X7" s="37"/>
      <c r="Y7" s="37"/>
      <c r="Z7" s="37"/>
      <c r="AA7" s="25"/>
      <c r="AB7" s="37"/>
      <c r="AC7" s="37"/>
      <c r="AD7" s="37"/>
      <c r="AE7" s="37"/>
      <c r="AF7" s="37"/>
      <c r="AG7" s="25"/>
      <c r="AH7" s="37"/>
      <c r="AI7" s="37"/>
      <c r="AJ7" s="25"/>
      <c r="AK7" s="37"/>
      <c r="AL7" s="37"/>
      <c r="AM7" s="25"/>
      <c r="AN7" s="37"/>
      <c r="AO7" s="37"/>
      <c r="AP7" s="37"/>
      <c r="AQ7" s="37"/>
      <c r="AR7" s="37"/>
      <c r="AS7" s="25"/>
      <c r="AT7" s="37"/>
      <c r="AU7" s="37"/>
      <c r="AV7" s="37"/>
      <c r="AW7" s="37"/>
      <c r="AX7" s="37"/>
      <c r="AY7" s="37"/>
      <c r="AZ7" s="37"/>
      <c r="BA7" s="37"/>
      <c r="BB7" s="25"/>
      <c r="BC7" s="37"/>
      <c r="BD7" s="37"/>
      <c r="BE7" s="37"/>
      <c r="BF7" s="37"/>
      <c r="BG7" s="37"/>
      <c r="BH7" s="25"/>
      <c r="BI7" s="37"/>
      <c r="BJ7" s="37"/>
      <c r="BK7" s="25"/>
      <c r="BL7" s="37"/>
      <c r="BM7" s="37"/>
      <c r="BN7" s="37"/>
      <c r="BO7" s="37"/>
      <c r="BP7" s="37"/>
      <c r="BQ7" s="25"/>
      <c r="BR7" s="37"/>
      <c r="BS7" s="37"/>
      <c r="BT7" s="25"/>
      <c r="BU7" s="37"/>
      <c r="BV7" s="37"/>
      <c r="BW7" s="96"/>
      <c r="BX7" s="37"/>
      <c r="BY7" s="37"/>
      <c r="BZ7" s="25"/>
      <c r="CA7" s="37"/>
      <c r="CB7" s="37"/>
      <c r="CC7" s="100">
        <f t="shared" si="0"/>
        <v>0</v>
      </c>
      <c r="CD7" s="37"/>
      <c r="CE7" s="26"/>
      <c r="CF7" s="20"/>
      <c r="CG7" s="42" t="str">
        <f t="shared" si="1"/>
        <v>0</v>
      </c>
      <c r="CH7" s="37"/>
    </row>
    <row r="8" spans="1:86" ht="67.5" customHeight="1" x14ac:dyDescent="0.25">
      <c r="A8" s="66">
        <v>5</v>
      </c>
      <c r="B8" s="39" t="s">
        <v>134</v>
      </c>
      <c r="C8" s="70" t="s">
        <v>63</v>
      </c>
      <c r="D8" s="62" t="s">
        <v>62</v>
      </c>
      <c r="E8" s="50">
        <v>8903433103</v>
      </c>
      <c r="F8" s="62" t="s">
        <v>203</v>
      </c>
      <c r="G8" s="50" t="s">
        <v>132</v>
      </c>
      <c r="H8" s="50">
        <v>3300</v>
      </c>
      <c r="I8" s="37"/>
      <c r="J8" s="37"/>
      <c r="K8" s="37"/>
      <c r="L8" s="37"/>
      <c r="M8" s="37"/>
      <c r="N8" s="37"/>
      <c r="O8" s="25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25"/>
      <c r="AB8" s="37"/>
      <c r="AC8" s="37"/>
      <c r="AD8" s="37"/>
      <c r="AE8" s="37"/>
      <c r="AF8" s="37"/>
      <c r="AG8" s="25"/>
      <c r="AH8" s="37"/>
      <c r="AI8" s="37"/>
      <c r="AJ8" s="25"/>
      <c r="AK8" s="37"/>
      <c r="AL8" s="37"/>
      <c r="AM8" s="25"/>
      <c r="AN8" s="37"/>
      <c r="AO8" s="37"/>
      <c r="AP8" s="37"/>
      <c r="AQ8" s="37"/>
      <c r="AR8" s="37"/>
      <c r="AS8" s="25"/>
      <c r="AT8" s="37"/>
      <c r="AU8" s="37"/>
      <c r="AV8" s="25"/>
      <c r="AW8" s="37"/>
      <c r="AX8" s="37"/>
      <c r="AY8" s="25"/>
      <c r="AZ8" s="37"/>
      <c r="BA8" s="37"/>
      <c r="BB8" s="37"/>
      <c r="BC8" s="37"/>
      <c r="BD8" s="37"/>
      <c r="BE8" s="25"/>
      <c r="BF8" s="37"/>
      <c r="BG8" s="37"/>
      <c r="BH8" s="25"/>
      <c r="BI8" s="37"/>
      <c r="BJ8" s="37"/>
      <c r="BK8" s="25"/>
      <c r="BL8" s="37"/>
      <c r="BM8" s="37"/>
      <c r="BN8" s="25"/>
      <c r="BO8" s="37"/>
      <c r="BP8" s="37"/>
      <c r="BQ8" s="25"/>
      <c r="BR8" s="37"/>
      <c r="BS8" s="37"/>
      <c r="BT8" s="25"/>
      <c r="BU8" s="37"/>
      <c r="BV8" s="37"/>
      <c r="BW8" s="43"/>
      <c r="BX8" s="37"/>
      <c r="BY8" s="37"/>
      <c r="BZ8" s="25"/>
      <c r="CA8" s="37"/>
      <c r="CB8" s="37"/>
      <c r="CC8" s="100">
        <f t="shared" si="0"/>
        <v>0</v>
      </c>
      <c r="CD8" s="37"/>
      <c r="CE8" s="26"/>
      <c r="CF8" s="20"/>
      <c r="CG8" s="42" t="str">
        <f t="shared" si="1"/>
        <v>0</v>
      </c>
      <c r="CH8" s="37"/>
    </row>
    <row r="9" spans="1:86" ht="67.5" customHeight="1" x14ac:dyDescent="0.25">
      <c r="A9" s="66">
        <v>6</v>
      </c>
      <c r="B9" s="67" t="s">
        <v>159</v>
      </c>
      <c r="C9" s="70"/>
      <c r="D9" s="62" t="s">
        <v>187</v>
      </c>
      <c r="E9" s="50" t="s">
        <v>188</v>
      </c>
      <c r="F9" s="62" t="s">
        <v>19</v>
      </c>
      <c r="G9" s="50" t="s">
        <v>132</v>
      </c>
      <c r="H9" s="50">
        <v>1300</v>
      </c>
      <c r="I9" s="37"/>
      <c r="J9" s="37"/>
      <c r="K9" s="37"/>
      <c r="L9" s="37"/>
      <c r="M9" s="37"/>
      <c r="N9" s="37"/>
      <c r="O9" s="25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25"/>
      <c r="AB9" s="37"/>
      <c r="AC9" s="37"/>
      <c r="AD9" s="37"/>
      <c r="AE9" s="37"/>
      <c r="AF9" s="37"/>
      <c r="AG9" s="25"/>
      <c r="AH9" s="37"/>
      <c r="AI9" s="37"/>
      <c r="AJ9" s="25"/>
      <c r="AK9" s="37"/>
      <c r="AL9" s="37"/>
      <c r="AM9" s="25"/>
      <c r="AN9" s="37"/>
      <c r="AO9" s="37"/>
      <c r="AP9" s="37"/>
      <c r="AQ9" s="37"/>
      <c r="AR9" s="37"/>
      <c r="AS9" s="25"/>
      <c r="AT9" s="37"/>
      <c r="AU9" s="37"/>
      <c r="AV9" s="37"/>
      <c r="AW9" s="37"/>
      <c r="AX9" s="37"/>
      <c r="AY9" s="25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25"/>
      <c r="BU9" s="37"/>
      <c r="BV9" s="37"/>
      <c r="BW9" s="96"/>
      <c r="BX9" s="37"/>
      <c r="BY9" s="37"/>
      <c r="BZ9" s="25"/>
      <c r="CA9" s="37"/>
      <c r="CB9" s="37"/>
      <c r="CC9" s="100">
        <f t="shared" si="0"/>
        <v>0</v>
      </c>
      <c r="CD9" s="37"/>
      <c r="CE9" s="26"/>
      <c r="CF9" s="20"/>
      <c r="CG9" s="42" t="str">
        <f t="shared" si="1"/>
        <v>0</v>
      </c>
      <c r="CH9" s="37"/>
    </row>
    <row r="10" spans="1:86" ht="67.5" customHeight="1" x14ac:dyDescent="0.25">
      <c r="A10" s="66">
        <v>7</v>
      </c>
      <c r="B10" s="39" t="s">
        <v>179</v>
      </c>
      <c r="C10" s="70"/>
      <c r="D10" s="62" t="s">
        <v>189</v>
      </c>
      <c r="E10" s="50">
        <v>9636123309</v>
      </c>
      <c r="F10" s="62" t="s">
        <v>180</v>
      </c>
      <c r="G10" s="50" t="s">
        <v>132</v>
      </c>
      <c r="H10" s="50">
        <v>1400</v>
      </c>
      <c r="I10" s="37"/>
      <c r="J10" s="37"/>
      <c r="K10" s="37"/>
      <c r="L10" s="37"/>
      <c r="M10" s="37"/>
      <c r="N10" s="37"/>
      <c r="O10" s="25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25"/>
      <c r="AB10" s="37"/>
      <c r="AC10" s="37"/>
      <c r="AD10" s="25"/>
      <c r="AE10" s="25"/>
      <c r="AF10" s="37"/>
      <c r="AG10" s="25"/>
      <c r="AH10" s="37"/>
      <c r="AI10" s="37"/>
      <c r="AJ10" s="25"/>
      <c r="AK10" s="37"/>
      <c r="AL10" s="37"/>
      <c r="AM10" s="25"/>
      <c r="AN10" s="37"/>
      <c r="AO10" s="37"/>
      <c r="AP10" s="37"/>
      <c r="AQ10" s="37"/>
      <c r="AR10" s="37"/>
      <c r="AS10" s="25"/>
      <c r="AT10" s="37"/>
      <c r="AU10" s="37"/>
      <c r="AV10" s="37"/>
      <c r="AW10" s="37"/>
      <c r="AX10" s="37"/>
      <c r="AY10" s="25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25"/>
      <c r="BU10" s="37"/>
      <c r="BV10" s="37"/>
      <c r="BW10" s="96"/>
      <c r="BX10" s="37"/>
      <c r="BY10" s="37"/>
      <c r="BZ10" s="37"/>
      <c r="CA10" s="37"/>
      <c r="CB10" s="37"/>
      <c r="CC10" s="100">
        <f t="shared" si="0"/>
        <v>0</v>
      </c>
      <c r="CD10" s="117"/>
      <c r="CE10" s="26"/>
      <c r="CF10" s="20"/>
      <c r="CG10" s="42" t="str">
        <f t="shared" si="1"/>
        <v>0</v>
      </c>
      <c r="CH10" s="37"/>
    </row>
    <row r="11" spans="1:86" ht="61.5" customHeight="1" x14ac:dyDescent="0.25">
      <c r="A11" s="66">
        <v>8</v>
      </c>
      <c r="B11" s="87" t="s">
        <v>147</v>
      </c>
      <c r="C11" s="70" t="s">
        <v>148</v>
      </c>
      <c r="D11" s="62" t="s">
        <v>149</v>
      </c>
      <c r="E11" s="50" t="s">
        <v>150</v>
      </c>
      <c r="F11" s="62" t="s">
        <v>183</v>
      </c>
      <c r="G11" s="50" t="s">
        <v>132</v>
      </c>
      <c r="H11" s="50">
        <v>3000</v>
      </c>
      <c r="I11" s="37"/>
      <c r="J11" s="37"/>
      <c r="K11" s="37"/>
      <c r="L11" s="25"/>
      <c r="M11" s="37"/>
      <c r="N11" s="37"/>
      <c r="O11" s="25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25"/>
      <c r="AH11" s="37"/>
      <c r="AI11" s="37"/>
      <c r="AJ11" s="37"/>
      <c r="AK11" s="37"/>
      <c r="AL11" s="37"/>
      <c r="AM11" s="25"/>
      <c r="AN11" s="37"/>
      <c r="AO11" s="37"/>
      <c r="AP11" s="37"/>
      <c r="AQ11" s="37"/>
      <c r="AR11" s="37"/>
      <c r="AS11" s="25"/>
      <c r="AT11" s="37"/>
      <c r="AU11" s="37"/>
      <c r="AV11" s="37"/>
      <c r="AW11" s="37"/>
      <c r="AX11" s="37"/>
      <c r="AY11" s="25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25"/>
      <c r="BL11" s="37"/>
      <c r="BM11" s="37"/>
      <c r="BN11" s="37"/>
      <c r="BO11" s="37"/>
      <c r="BP11" s="37"/>
      <c r="BQ11" s="37"/>
      <c r="BR11" s="37"/>
      <c r="BS11" s="37"/>
      <c r="BT11" s="25"/>
      <c r="BU11" s="37"/>
      <c r="BV11" s="37"/>
      <c r="BW11" s="96"/>
      <c r="BX11" s="37"/>
      <c r="BY11" s="37"/>
      <c r="BZ11" s="25"/>
      <c r="CA11" s="37"/>
      <c r="CB11" s="37"/>
      <c r="CC11" s="100">
        <f t="shared" si="0"/>
        <v>0</v>
      </c>
      <c r="CD11" s="37"/>
      <c r="CE11" s="28"/>
      <c r="CF11" s="20"/>
      <c r="CG11" s="42" t="str">
        <f t="shared" si="1"/>
        <v>0</v>
      </c>
      <c r="CH11" s="109"/>
    </row>
    <row r="12" spans="1:86" ht="61.5" customHeight="1" x14ac:dyDescent="0.25">
      <c r="A12" s="66">
        <v>9</v>
      </c>
      <c r="B12" s="39" t="s">
        <v>137</v>
      </c>
      <c r="C12" s="70"/>
      <c r="D12" s="62" t="s">
        <v>138</v>
      </c>
      <c r="E12" s="50" t="s">
        <v>61</v>
      </c>
      <c r="F12" s="62" t="s">
        <v>204</v>
      </c>
      <c r="G12" s="50" t="s">
        <v>132</v>
      </c>
      <c r="H12" s="50">
        <v>700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25"/>
      <c r="AB12" s="37"/>
      <c r="AC12" s="37"/>
      <c r="AD12" s="37"/>
      <c r="AE12" s="37"/>
      <c r="AF12" s="37"/>
      <c r="AG12" s="25"/>
      <c r="AH12" s="37"/>
      <c r="AI12" s="37"/>
      <c r="AJ12" s="37"/>
      <c r="AK12" s="37"/>
      <c r="AL12" s="37"/>
      <c r="AM12" s="25"/>
      <c r="AN12" s="37"/>
      <c r="AO12" s="37"/>
      <c r="AP12" s="37"/>
      <c r="AQ12" s="37"/>
      <c r="AR12" s="37"/>
      <c r="AS12" s="25"/>
      <c r="AT12" s="37"/>
      <c r="AU12" s="37"/>
      <c r="AV12" s="37"/>
      <c r="AW12" s="37"/>
      <c r="AX12" s="37"/>
      <c r="AY12" s="25"/>
      <c r="AZ12" s="37"/>
      <c r="BA12" s="37"/>
      <c r="BB12" s="37"/>
      <c r="BC12" s="37"/>
      <c r="BD12" s="37"/>
      <c r="BE12" s="25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25"/>
      <c r="BU12" s="37"/>
      <c r="BV12" s="37"/>
      <c r="BW12" s="96"/>
      <c r="BX12" s="37"/>
      <c r="BY12" s="37"/>
      <c r="BZ12" s="25"/>
      <c r="CA12" s="37"/>
      <c r="CB12" s="37"/>
      <c r="CC12" s="100">
        <f t="shared" si="0"/>
        <v>0</v>
      </c>
      <c r="CD12" s="37"/>
      <c r="CE12" s="26"/>
      <c r="CF12" s="20"/>
      <c r="CG12" s="42" t="str">
        <f t="shared" si="1"/>
        <v>0</v>
      </c>
      <c r="CH12" s="37"/>
    </row>
    <row r="13" spans="1:86" ht="61.5" customHeight="1" x14ac:dyDescent="0.25">
      <c r="A13" s="66">
        <v>10</v>
      </c>
      <c r="B13" s="39" t="s">
        <v>164</v>
      </c>
      <c r="C13" s="70"/>
      <c r="D13" s="62" t="s">
        <v>69</v>
      </c>
      <c r="E13" s="50" t="s">
        <v>194</v>
      </c>
      <c r="F13" s="62" t="s">
        <v>19</v>
      </c>
      <c r="G13" s="50" t="s">
        <v>132</v>
      </c>
      <c r="H13" s="50">
        <v>1300</v>
      </c>
      <c r="I13" s="37"/>
      <c r="J13" s="37"/>
      <c r="K13" s="37"/>
      <c r="L13" s="25"/>
      <c r="M13" s="37"/>
      <c r="N13" s="37"/>
      <c r="O13" s="25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25"/>
      <c r="AE13" s="37"/>
      <c r="AF13" s="37"/>
      <c r="AG13" s="25"/>
      <c r="AH13" s="37"/>
      <c r="AI13" s="37"/>
      <c r="AJ13" s="37"/>
      <c r="AK13" s="37"/>
      <c r="AL13" s="37"/>
      <c r="AM13" s="25"/>
      <c r="AN13" s="37"/>
      <c r="AO13" s="37"/>
      <c r="AP13" s="37"/>
      <c r="AQ13" s="37"/>
      <c r="AR13" s="37"/>
      <c r="AS13" s="25"/>
      <c r="AT13" s="37"/>
      <c r="AU13" s="37"/>
      <c r="AV13" s="37"/>
      <c r="AW13" s="37"/>
      <c r="AX13" s="37"/>
      <c r="AY13" s="25"/>
      <c r="AZ13" s="37"/>
      <c r="BA13" s="37"/>
      <c r="BB13" s="37"/>
      <c r="BC13" s="37"/>
      <c r="BD13" s="37"/>
      <c r="BE13" s="25"/>
      <c r="BF13" s="37"/>
      <c r="BG13" s="37"/>
      <c r="BH13" s="25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25"/>
      <c r="BU13" s="37"/>
      <c r="BV13" s="37"/>
      <c r="BW13" s="96"/>
      <c r="BX13" s="37"/>
      <c r="BY13" s="37"/>
      <c r="BZ13" s="25"/>
      <c r="CA13" s="37"/>
      <c r="CB13" s="37"/>
      <c r="CC13" s="100">
        <f t="shared" si="0"/>
        <v>0</v>
      </c>
      <c r="CD13" s="37"/>
      <c r="CE13" s="26"/>
      <c r="CF13" s="20"/>
      <c r="CG13" s="42" t="str">
        <f t="shared" si="1"/>
        <v>0</v>
      </c>
      <c r="CH13" s="37"/>
    </row>
    <row r="14" spans="1:86" ht="57" customHeight="1" x14ac:dyDescent="0.25">
      <c r="A14" s="66">
        <v>11</v>
      </c>
      <c r="B14" s="39" t="s">
        <v>65</v>
      </c>
      <c r="C14" s="39"/>
      <c r="D14" s="62" t="s">
        <v>66</v>
      </c>
      <c r="E14" s="50" t="s">
        <v>67</v>
      </c>
      <c r="F14" s="62" t="s">
        <v>201</v>
      </c>
      <c r="G14" s="50" t="s">
        <v>132</v>
      </c>
      <c r="H14" s="50">
        <v>2000</v>
      </c>
      <c r="I14" s="43"/>
      <c r="J14" s="37"/>
      <c r="K14" s="37"/>
      <c r="L14" s="25"/>
      <c r="M14" s="37"/>
      <c r="N14" s="37"/>
      <c r="O14" s="2"/>
      <c r="P14" s="2"/>
      <c r="Q14" s="2"/>
      <c r="R14" s="2"/>
      <c r="S14" s="2"/>
      <c r="T14" s="2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43"/>
      <c r="BX14" s="25"/>
      <c r="BY14" s="25"/>
      <c r="BZ14" s="25"/>
      <c r="CA14" s="25"/>
      <c r="CB14" s="25"/>
      <c r="CC14" s="100">
        <f t="shared" si="0"/>
        <v>0</v>
      </c>
      <c r="CD14" s="37"/>
      <c r="CE14" s="26"/>
      <c r="CF14" s="20"/>
      <c r="CG14" s="42" t="str">
        <f t="shared" ref="CG14:CG17" si="2">IF(CC14&lt;=0,"0",IF(CC14=1,"1",IF(CC14=2,"2",IF(CC14=3,"3",IF(CC14&gt;=4,"4")))))</f>
        <v>0</v>
      </c>
      <c r="CH14" s="37"/>
    </row>
    <row r="15" spans="1:86" ht="57" customHeight="1" x14ac:dyDescent="0.25">
      <c r="A15" s="66">
        <v>12</v>
      </c>
      <c r="B15" s="67" t="s">
        <v>173</v>
      </c>
      <c r="C15" s="39"/>
      <c r="D15" s="62" t="s">
        <v>195</v>
      </c>
      <c r="E15" s="50">
        <v>9363210549</v>
      </c>
      <c r="F15" s="62" t="s">
        <v>205</v>
      </c>
      <c r="G15" s="50" t="s">
        <v>132</v>
      </c>
      <c r="H15" s="50">
        <v>1500</v>
      </c>
      <c r="I15" s="43"/>
      <c r="J15" s="37"/>
      <c r="K15" s="37"/>
      <c r="L15" s="25"/>
      <c r="M15" s="37"/>
      <c r="N15" s="37"/>
      <c r="O15" s="2"/>
      <c r="P15" s="2"/>
      <c r="Q15" s="2"/>
      <c r="R15" s="2"/>
      <c r="S15" s="2"/>
      <c r="T15" s="2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43"/>
      <c r="BX15" s="25"/>
      <c r="BY15" s="25"/>
      <c r="BZ15" s="25"/>
      <c r="CA15" s="25"/>
      <c r="CB15" s="25"/>
      <c r="CC15" s="100">
        <f t="shared" si="0"/>
        <v>0</v>
      </c>
      <c r="CD15" s="37"/>
      <c r="CE15" s="28"/>
      <c r="CF15" s="20"/>
      <c r="CG15" s="42" t="str">
        <f t="shared" si="2"/>
        <v>0</v>
      </c>
      <c r="CH15" s="37"/>
    </row>
    <row r="16" spans="1:86" ht="57" customHeight="1" x14ac:dyDescent="0.25">
      <c r="A16" s="66">
        <v>13</v>
      </c>
      <c r="B16" s="67" t="s">
        <v>139</v>
      </c>
      <c r="C16" s="70" t="s">
        <v>140</v>
      </c>
      <c r="D16" s="62" t="s">
        <v>141</v>
      </c>
      <c r="E16" s="50" t="s">
        <v>78</v>
      </c>
      <c r="F16" s="62" t="s">
        <v>206</v>
      </c>
      <c r="G16" s="50" t="s">
        <v>132</v>
      </c>
      <c r="H16" s="50">
        <v>1500</v>
      </c>
      <c r="I16" s="37"/>
      <c r="J16" s="37"/>
      <c r="K16" s="37"/>
      <c r="L16" s="37"/>
      <c r="M16" s="37"/>
      <c r="N16" s="37"/>
      <c r="O16" s="25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25"/>
      <c r="AE16" s="37"/>
      <c r="AF16" s="37"/>
      <c r="AG16" s="25"/>
      <c r="AH16" s="37"/>
      <c r="AI16" s="37"/>
      <c r="AJ16" s="25"/>
      <c r="AK16" s="37"/>
      <c r="AL16" s="37"/>
      <c r="AM16" s="25"/>
      <c r="AN16" s="37"/>
      <c r="AO16" s="37"/>
      <c r="AP16" s="37"/>
      <c r="AQ16" s="37"/>
      <c r="AR16" s="37"/>
      <c r="AS16" s="25"/>
      <c r="AT16" s="37"/>
      <c r="AU16" s="37"/>
      <c r="AV16" s="37"/>
      <c r="AW16" s="37"/>
      <c r="AX16" s="37"/>
      <c r="AY16" s="25"/>
      <c r="AZ16" s="37"/>
      <c r="BA16" s="37"/>
      <c r="BB16" s="25"/>
      <c r="BC16" s="37"/>
      <c r="BD16" s="37"/>
      <c r="BE16" s="25"/>
      <c r="BF16" s="37"/>
      <c r="BG16" s="37"/>
      <c r="BH16" s="37"/>
      <c r="BI16" s="37"/>
      <c r="BJ16" s="37"/>
      <c r="BK16" s="25"/>
      <c r="BL16" s="37"/>
      <c r="BM16" s="37"/>
      <c r="BN16" s="25"/>
      <c r="BO16" s="37"/>
      <c r="BP16" s="37"/>
      <c r="BQ16" s="25"/>
      <c r="BR16" s="37"/>
      <c r="BS16" s="37"/>
      <c r="BT16" s="25"/>
      <c r="BU16" s="37"/>
      <c r="BV16" s="37"/>
      <c r="BW16" s="43"/>
      <c r="BX16" s="37"/>
      <c r="BY16" s="37"/>
      <c r="BZ16" s="25"/>
      <c r="CA16" s="37"/>
      <c r="CB16" s="37"/>
      <c r="CC16" s="100">
        <f t="shared" si="0"/>
        <v>0</v>
      </c>
      <c r="CD16" s="116"/>
      <c r="CE16" s="26"/>
      <c r="CF16" s="20"/>
      <c r="CG16" s="42" t="str">
        <f t="shared" si="2"/>
        <v>0</v>
      </c>
      <c r="CH16" s="37"/>
    </row>
    <row r="17" spans="1:86" ht="57" customHeight="1" x14ac:dyDescent="0.25">
      <c r="A17" s="66">
        <v>14</v>
      </c>
      <c r="B17" s="67" t="s">
        <v>118</v>
      </c>
      <c r="C17" s="39"/>
      <c r="D17" s="62" t="s">
        <v>119</v>
      </c>
      <c r="E17" s="50">
        <v>9791504768</v>
      </c>
      <c r="F17" s="62" t="s">
        <v>19</v>
      </c>
      <c r="G17" s="50" t="s">
        <v>132</v>
      </c>
      <c r="H17" s="50">
        <v>650</v>
      </c>
      <c r="I17" s="2"/>
      <c r="J17" s="37"/>
      <c r="K17" s="37"/>
      <c r="L17" s="25"/>
      <c r="M17" s="37"/>
      <c r="N17" s="37"/>
      <c r="O17" s="2"/>
      <c r="P17" s="2"/>
      <c r="Q17" s="2"/>
      <c r="R17" s="2"/>
      <c r="S17" s="2"/>
      <c r="T17" s="2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100">
        <f t="shared" si="0"/>
        <v>0</v>
      </c>
      <c r="CD17" s="37"/>
      <c r="CE17" s="28"/>
      <c r="CF17" s="20"/>
      <c r="CG17" s="42" t="str">
        <f t="shared" si="2"/>
        <v>0</v>
      </c>
      <c r="CH17" s="37"/>
    </row>
    <row r="18" spans="1:86" x14ac:dyDescent="0.25">
      <c r="A18" s="90"/>
      <c r="B18" s="92"/>
      <c r="C18" s="92"/>
      <c r="D18" s="88"/>
      <c r="E18" s="88"/>
      <c r="F18" s="88"/>
      <c r="G18" s="91"/>
      <c r="H18" s="93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1"/>
      <c r="CF18" s="88"/>
      <c r="CG18" s="90"/>
      <c r="CH18" s="37"/>
    </row>
    <row r="19" spans="1:86" ht="57" customHeight="1" x14ac:dyDescent="0.25">
      <c r="A19" s="66">
        <v>15</v>
      </c>
      <c r="B19" s="39" t="s">
        <v>171</v>
      </c>
      <c r="C19" s="70"/>
      <c r="D19" s="62" t="s">
        <v>197</v>
      </c>
      <c r="E19" s="50" t="s">
        <v>198</v>
      </c>
      <c r="F19" s="62" t="s">
        <v>172</v>
      </c>
      <c r="G19" s="50" t="s">
        <v>132</v>
      </c>
      <c r="H19" s="50">
        <v>900</v>
      </c>
      <c r="I19" s="37"/>
      <c r="J19" s="37"/>
      <c r="K19" s="37"/>
      <c r="L19" s="37"/>
      <c r="M19" s="37"/>
      <c r="N19" s="37"/>
      <c r="O19" s="25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25"/>
      <c r="AB19" s="37"/>
      <c r="AC19" s="37"/>
      <c r="AD19" s="25"/>
      <c r="AE19" s="37"/>
      <c r="AF19" s="37"/>
      <c r="AG19" s="25"/>
      <c r="AH19" s="37"/>
      <c r="AI19" s="37"/>
      <c r="AJ19" s="37"/>
      <c r="AK19" s="37"/>
      <c r="AL19" s="37"/>
      <c r="AM19" s="25"/>
      <c r="AN19" s="37"/>
      <c r="AO19" s="37"/>
      <c r="AP19" s="37"/>
      <c r="AQ19" s="37"/>
      <c r="AR19" s="37"/>
      <c r="AS19" s="25"/>
      <c r="AT19" s="37"/>
      <c r="AU19" s="37"/>
      <c r="AV19" s="37"/>
      <c r="AW19" s="37"/>
      <c r="AX19" s="37"/>
      <c r="AY19" s="25"/>
      <c r="AZ19" s="37"/>
      <c r="BA19" s="37"/>
      <c r="BB19" s="25"/>
      <c r="BC19" s="37"/>
      <c r="BD19" s="37"/>
      <c r="BE19" s="37"/>
      <c r="BF19" s="37"/>
      <c r="BG19" s="37"/>
      <c r="BH19" s="37"/>
      <c r="BI19" s="37"/>
      <c r="BJ19" s="37"/>
      <c r="BK19" s="25"/>
      <c r="BL19" s="37"/>
      <c r="BM19" s="37"/>
      <c r="BN19" s="37"/>
      <c r="BO19" s="37"/>
      <c r="BP19" s="37"/>
      <c r="BQ19" s="37"/>
      <c r="BR19" s="37"/>
      <c r="BS19" s="37"/>
      <c r="BT19" s="25"/>
      <c r="BU19" s="37"/>
      <c r="BV19" s="37"/>
      <c r="BW19" s="43"/>
      <c r="BX19" s="37"/>
      <c r="BY19" s="37"/>
      <c r="BZ19" s="37"/>
      <c r="CA19" s="37"/>
      <c r="CB19" s="37"/>
      <c r="CC19" s="100">
        <f t="shared" si="0"/>
        <v>0</v>
      </c>
      <c r="CD19" s="37"/>
      <c r="CE19" s="26"/>
      <c r="CF19" s="20"/>
      <c r="CG19" s="42" t="str">
        <f>IF(CC19&lt;=0,"0",IF(CC19=1,"1",IF(CC19=2,"2",IF(CC19=3,"3",IF(CC19&gt;=4,"4")))))</f>
        <v>0</v>
      </c>
      <c r="CH19" s="37"/>
    </row>
    <row r="20" spans="1:86" x14ac:dyDescent="0.25">
      <c r="A20" s="90"/>
      <c r="B20" s="92"/>
      <c r="C20" s="92"/>
      <c r="D20" s="88"/>
      <c r="E20" s="88"/>
      <c r="F20" s="88"/>
      <c r="G20" s="91"/>
      <c r="H20" s="93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1"/>
      <c r="CF20" s="88"/>
      <c r="CG20" s="90"/>
      <c r="CH20" s="37"/>
    </row>
    <row r="21" spans="1:86" ht="61.5" customHeight="1" x14ac:dyDescent="0.25">
      <c r="A21" s="66">
        <v>16</v>
      </c>
      <c r="B21" s="39" t="s">
        <v>181</v>
      </c>
      <c r="C21" s="70"/>
      <c r="D21" s="62" t="s">
        <v>190</v>
      </c>
      <c r="E21" s="50" t="s">
        <v>191</v>
      </c>
      <c r="F21" s="62" t="s">
        <v>75</v>
      </c>
      <c r="G21" s="50" t="s">
        <v>132</v>
      </c>
      <c r="H21" s="50">
        <v>1200</v>
      </c>
      <c r="I21" s="37"/>
      <c r="J21" s="37"/>
      <c r="K21" s="37"/>
      <c r="L21" s="25"/>
      <c r="M21" s="37"/>
      <c r="N21" s="37"/>
      <c r="O21" s="25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25"/>
      <c r="AE21" s="37"/>
      <c r="AF21" s="37"/>
      <c r="AG21" s="25"/>
      <c r="AH21" s="37"/>
      <c r="AI21" s="37"/>
      <c r="AJ21" s="25"/>
      <c r="AK21" s="37"/>
      <c r="AL21" s="37"/>
      <c r="AM21" s="25"/>
      <c r="AN21" s="37"/>
      <c r="AO21" s="37"/>
      <c r="AP21" s="37"/>
      <c r="AQ21" s="37"/>
      <c r="AR21" s="37"/>
      <c r="AS21" s="25"/>
      <c r="AT21" s="37"/>
      <c r="AU21" s="37"/>
      <c r="AV21" s="37"/>
      <c r="AW21" s="37"/>
      <c r="AX21" s="37"/>
      <c r="AY21" s="25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25"/>
      <c r="BL21" s="37"/>
      <c r="BM21" s="37"/>
      <c r="BN21" s="37"/>
      <c r="BO21" s="37"/>
      <c r="BP21" s="37"/>
      <c r="BQ21" s="37"/>
      <c r="BR21" s="37"/>
      <c r="BS21" s="37"/>
      <c r="BT21" s="25"/>
      <c r="BU21" s="37"/>
      <c r="BV21" s="37"/>
      <c r="BW21" s="96"/>
      <c r="BX21" s="37"/>
      <c r="BY21" s="37"/>
      <c r="BZ21" s="37"/>
      <c r="CA21" s="37"/>
      <c r="CB21" s="37"/>
      <c r="CC21" s="100">
        <f t="shared" si="0"/>
        <v>0</v>
      </c>
      <c r="CD21" s="116"/>
      <c r="CE21" s="28"/>
      <c r="CF21" s="20"/>
      <c r="CG21" s="42" t="str">
        <f>IF(CC21&lt;=0,"0",IF(CC21=1,"1",IF(CC21=2,"2",IF(CC21=3,"3",IF(CC21&gt;=4,"4")))))</f>
        <v>0</v>
      </c>
      <c r="CH21" s="37"/>
    </row>
    <row r="22" spans="1:86" ht="9.75" customHeight="1" x14ac:dyDescent="0.2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37"/>
    </row>
    <row r="23" spans="1:86" ht="61.5" customHeight="1" x14ac:dyDescent="0.25">
      <c r="A23" s="66">
        <v>17</v>
      </c>
      <c r="B23" s="67" t="s">
        <v>169</v>
      </c>
      <c r="C23" s="70"/>
      <c r="D23" s="62" t="s">
        <v>192</v>
      </c>
      <c r="E23" s="50" t="s">
        <v>193</v>
      </c>
      <c r="F23" s="62" t="s">
        <v>170</v>
      </c>
      <c r="G23" s="50" t="s">
        <v>132</v>
      </c>
      <c r="H23" s="50">
        <v>900</v>
      </c>
      <c r="I23" s="37"/>
      <c r="J23" s="37"/>
      <c r="K23" s="37"/>
      <c r="L23" s="37"/>
      <c r="M23" s="37"/>
      <c r="N23" s="37"/>
      <c r="O23" s="25"/>
      <c r="P23" s="37"/>
      <c r="Q23" s="37"/>
      <c r="R23" s="25"/>
      <c r="S23" s="37"/>
      <c r="T23" s="37"/>
      <c r="U23" s="37"/>
      <c r="V23" s="37"/>
      <c r="W23" s="37"/>
      <c r="X23" s="37"/>
      <c r="Y23" s="37"/>
      <c r="Z23" s="37"/>
      <c r="AA23" s="25"/>
      <c r="AB23" s="37"/>
      <c r="AC23" s="37"/>
      <c r="AD23" s="37"/>
      <c r="AE23" s="37"/>
      <c r="AF23" s="37"/>
      <c r="AG23" s="25"/>
      <c r="AH23" s="37"/>
      <c r="AI23" s="37"/>
      <c r="AJ23" s="25"/>
      <c r="AK23" s="37"/>
      <c r="AL23" s="37"/>
      <c r="AM23" s="25"/>
      <c r="AN23" s="37"/>
      <c r="AO23" s="37"/>
      <c r="AP23" s="37"/>
      <c r="AQ23" s="37"/>
      <c r="AR23" s="37"/>
      <c r="AS23" s="25"/>
      <c r="AT23" s="37"/>
      <c r="AU23" s="37"/>
      <c r="AV23" s="37"/>
      <c r="AW23" s="37"/>
      <c r="AX23" s="37"/>
      <c r="AY23" s="25"/>
      <c r="AZ23" s="37"/>
      <c r="BA23" s="37"/>
      <c r="BB23" s="37"/>
      <c r="BC23" s="37"/>
      <c r="BD23" s="37"/>
      <c r="BE23" s="25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25"/>
      <c r="BU23" s="37"/>
      <c r="BV23" s="37"/>
      <c r="BW23" s="96"/>
      <c r="BX23" s="37"/>
      <c r="BY23" s="37"/>
      <c r="BZ23" s="37"/>
      <c r="CA23" s="37"/>
      <c r="CB23" s="37"/>
      <c r="CC23" s="100">
        <f t="shared" si="0"/>
        <v>0</v>
      </c>
      <c r="CD23" s="37"/>
      <c r="CE23" s="26"/>
      <c r="CF23" s="20"/>
      <c r="CG23" s="42" t="str">
        <f>IF(CC23&lt;=0,"0",IF(CC23=1,"1",IF(CC23=2,"2",IF(CC23=3,"3",IF(CC23&gt;=4,"4")))))</f>
        <v>0</v>
      </c>
      <c r="CH23" s="37"/>
    </row>
    <row r="24" spans="1:86" x14ac:dyDescent="0.25">
      <c r="A24" s="90"/>
      <c r="B24" s="92"/>
      <c r="C24" s="92"/>
      <c r="D24" s="88"/>
      <c r="E24" s="88"/>
      <c r="F24" s="88"/>
      <c r="G24" s="91"/>
      <c r="H24" s="93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1"/>
      <c r="CF24" s="88"/>
      <c r="CG24" s="90"/>
      <c r="CH24" s="37"/>
    </row>
    <row r="25" spans="1:86" ht="63.75" customHeight="1" x14ac:dyDescent="0.25">
      <c r="A25" s="66">
        <v>18</v>
      </c>
      <c r="B25" s="67" t="s">
        <v>68</v>
      </c>
      <c r="C25" s="39"/>
      <c r="D25" s="62" t="s">
        <v>69</v>
      </c>
      <c r="E25" s="50" t="s">
        <v>70</v>
      </c>
      <c r="F25" s="62" t="s">
        <v>71</v>
      </c>
      <c r="G25" s="50" t="s">
        <v>132</v>
      </c>
      <c r="H25" s="50">
        <v>750</v>
      </c>
      <c r="I25" s="43"/>
      <c r="J25" s="37"/>
      <c r="K25" s="37"/>
      <c r="L25" s="25"/>
      <c r="M25" s="37"/>
      <c r="N25" s="37"/>
      <c r="O25" s="2"/>
      <c r="P25" s="2"/>
      <c r="Q25" s="2"/>
      <c r="R25" s="2"/>
      <c r="S25" s="2"/>
      <c r="T25" s="2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100">
        <f t="shared" si="0"/>
        <v>0</v>
      </c>
      <c r="CD25" s="37"/>
      <c r="CE25" s="26"/>
      <c r="CF25" s="20"/>
      <c r="CG25" s="42" t="str">
        <f>IF(CC25&lt;=0,"0",IF(CC25=1,"1",IF(CC25=2,"2",IF(CC25=3,"3",IF(CC25&gt;=4,"4")))))</f>
        <v>0</v>
      </c>
      <c r="CH25" s="37"/>
    </row>
    <row r="26" spans="1:86" x14ac:dyDescent="0.25">
      <c r="A26" s="90"/>
      <c r="B26" s="92"/>
      <c r="C26" s="92"/>
      <c r="D26" s="88"/>
      <c r="E26" s="88"/>
      <c r="F26" s="88"/>
      <c r="G26" s="91"/>
      <c r="H26" s="93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1"/>
      <c r="CF26" s="88"/>
      <c r="CG26" s="90"/>
      <c r="CH26" s="37"/>
    </row>
    <row r="27" spans="1:86" ht="57" customHeight="1" x14ac:dyDescent="0.25">
      <c r="A27" s="66">
        <v>19</v>
      </c>
      <c r="B27" s="67" t="s">
        <v>167</v>
      </c>
      <c r="C27" s="39"/>
      <c r="D27" s="62" t="s">
        <v>196</v>
      </c>
      <c r="E27" s="50">
        <v>9600366634</v>
      </c>
      <c r="F27" s="62" t="s">
        <v>168</v>
      </c>
      <c r="G27" s="50" t="s">
        <v>132</v>
      </c>
      <c r="H27" s="50">
        <v>1100</v>
      </c>
      <c r="I27" s="2"/>
      <c r="J27" s="37"/>
      <c r="K27" s="37"/>
      <c r="L27" s="25"/>
      <c r="M27" s="37"/>
      <c r="N27" s="37"/>
      <c r="O27" s="2"/>
      <c r="P27" s="2"/>
      <c r="Q27" s="2"/>
      <c r="R27" s="2"/>
      <c r="S27" s="2"/>
      <c r="T27" s="2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100">
        <f t="shared" si="0"/>
        <v>0</v>
      </c>
      <c r="CD27" s="37"/>
      <c r="CE27" s="28"/>
      <c r="CF27" s="20"/>
      <c r="CG27" s="42" t="str">
        <f>IF(CC27&lt;=0,"0",IF(CC27=1,"1",IF(CC27=2,"2",IF(CC27=3,"3",IF(CC27&gt;=4,"4")))))</f>
        <v>0</v>
      </c>
      <c r="CH27" s="37"/>
    </row>
    <row r="28" spans="1:86" x14ac:dyDescent="0.25">
      <c r="A28" s="90"/>
      <c r="B28" s="92"/>
      <c r="C28" s="92"/>
      <c r="D28" s="88"/>
      <c r="E28" s="88"/>
      <c r="F28" s="88"/>
      <c r="G28" s="91"/>
      <c r="H28" s="93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1"/>
      <c r="CF28" s="88"/>
      <c r="CG28" s="90"/>
      <c r="CH28" s="37"/>
    </row>
    <row r="29" spans="1:86" ht="67.5" customHeight="1" x14ac:dyDescent="0.25">
      <c r="A29" s="66">
        <v>20</v>
      </c>
      <c r="B29" s="87" t="s">
        <v>44</v>
      </c>
      <c r="C29" s="39"/>
      <c r="D29" s="62" t="s">
        <v>76</v>
      </c>
      <c r="E29" s="50">
        <v>9952788798</v>
      </c>
      <c r="F29" s="62" t="s">
        <v>77</v>
      </c>
      <c r="G29" s="50" t="s">
        <v>132</v>
      </c>
      <c r="H29" s="50">
        <v>450</v>
      </c>
      <c r="I29" s="37"/>
      <c r="J29" s="37"/>
      <c r="K29" s="37"/>
      <c r="L29" s="37"/>
      <c r="M29" s="37"/>
      <c r="N29" s="37"/>
      <c r="O29" s="2"/>
      <c r="P29" s="2"/>
      <c r="Q29" s="2"/>
      <c r="R29" s="2"/>
      <c r="S29" s="2"/>
      <c r="T29" s="2"/>
      <c r="U29" s="25"/>
      <c r="V29" s="25"/>
      <c r="W29" s="25"/>
      <c r="X29" s="37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100">
        <f t="shared" si="0"/>
        <v>0</v>
      </c>
      <c r="CD29" s="37"/>
      <c r="CE29" s="28"/>
      <c r="CF29" s="20"/>
      <c r="CG29" s="42" t="str">
        <f>IF(CC29&lt;=0,"0",IF(CC29=1,"1",IF(CC29=2,"2",IF(CC29=3,"3",IF(CC29&gt;=4,"4")))))</f>
        <v>0</v>
      </c>
      <c r="CH29" s="109"/>
    </row>
    <row r="75" spans="1:86" ht="57" customHeight="1" x14ac:dyDescent="0.25">
      <c r="A75" s="65">
        <v>1</v>
      </c>
      <c r="B75" s="67" t="s">
        <v>116</v>
      </c>
      <c r="C75" s="67"/>
      <c r="D75" s="68"/>
      <c r="E75" s="69">
        <v>8870196601</v>
      </c>
      <c r="F75" s="68" t="s">
        <v>117</v>
      </c>
      <c r="G75" s="69" t="s">
        <v>15</v>
      </c>
      <c r="H75" s="69">
        <v>350</v>
      </c>
      <c r="I75" s="36"/>
      <c r="J75" s="36"/>
      <c r="K75" s="36"/>
      <c r="L75" s="41"/>
      <c r="M75" s="36"/>
      <c r="N75" s="36"/>
      <c r="O75" s="3"/>
      <c r="P75" s="3"/>
      <c r="Q75" s="3"/>
      <c r="R75" s="3"/>
      <c r="S75" s="3"/>
      <c r="T75" s="3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100">
        <f>COUNTA(I75:CB75)</f>
        <v>0</v>
      </c>
      <c r="CD75" s="36"/>
      <c r="CE75" s="51"/>
      <c r="CF75" s="24"/>
      <c r="CG75" s="42" t="str">
        <f>IF(CC75&lt;=0,"0",IF(CC75=1,"1",IF(CC75=2,"2",IF(CC75=3,"3",IF(CC75&gt;=4,"4")))))</f>
        <v>0</v>
      </c>
      <c r="CH75" s="101" t="s">
        <v>210</v>
      </c>
    </row>
    <row r="102" spans="1:85" ht="89.25" customHeight="1" x14ac:dyDescent="0.25">
      <c r="A102" s="66">
        <v>1</v>
      </c>
      <c r="B102" s="39" t="s">
        <v>89</v>
      </c>
      <c r="C102" s="39"/>
      <c r="D102" s="62" t="s">
        <v>90</v>
      </c>
      <c r="E102" s="50" t="s">
        <v>91</v>
      </c>
      <c r="F102" s="62" t="s">
        <v>92</v>
      </c>
      <c r="G102" s="50" t="s">
        <v>20</v>
      </c>
      <c r="H102" s="50">
        <v>1000</v>
      </c>
      <c r="I102" s="36"/>
      <c r="J102" s="36"/>
      <c r="K102" s="36"/>
      <c r="L102" s="36"/>
      <c r="M102" s="36"/>
      <c r="N102" s="36"/>
      <c r="O102" s="36"/>
      <c r="P102" s="36"/>
      <c r="Q102" s="36"/>
      <c r="R102" s="41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41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41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41"/>
      <c r="BO102" s="36"/>
      <c r="BP102" s="36"/>
      <c r="BQ102" s="36"/>
      <c r="BR102" s="36"/>
      <c r="BS102" s="36"/>
      <c r="BT102" s="41"/>
      <c r="BU102" s="36"/>
      <c r="BV102" s="36"/>
      <c r="BW102" s="36"/>
      <c r="BX102" s="36"/>
      <c r="BY102" s="36"/>
      <c r="BZ102" s="36"/>
      <c r="CA102" s="36"/>
      <c r="CB102" s="36"/>
      <c r="CC102" s="60">
        <f t="shared" ref="CC102:CC111" si="3">COUNTA(I102:BV102)</f>
        <v>0</v>
      </c>
      <c r="CD102" s="37"/>
      <c r="CE102" s="26"/>
      <c r="CF102" s="20"/>
      <c r="CG102" s="42" t="str">
        <f t="shared" ref="CG102:CG111" si="4">IF(CC102&lt;=0,"0",IF(CC102=1,"1",IF(CC102=2,"2",IF(CC102=3,"3",IF(CC102&gt;=4,"4")))))</f>
        <v>0</v>
      </c>
    </row>
    <row r="103" spans="1:85" ht="89.25" customHeight="1" x14ac:dyDescent="0.25">
      <c r="A103" s="66">
        <v>2</v>
      </c>
      <c r="B103" s="39" t="s">
        <v>93</v>
      </c>
      <c r="C103" s="39"/>
      <c r="D103" s="62" t="s">
        <v>94</v>
      </c>
      <c r="E103" s="50" t="s">
        <v>95</v>
      </c>
      <c r="F103" s="62" t="s">
        <v>96</v>
      </c>
      <c r="G103" s="50" t="s">
        <v>20</v>
      </c>
      <c r="H103" s="50">
        <v>850</v>
      </c>
      <c r="I103" s="36"/>
      <c r="J103" s="36"/>
      <c r="K103" s="36"/>
      <c r="L103" s="36"/>
      <c r="M103" s="36"/>
      <c r="N103" s="36"/>
      <c r="O103" s="36"/>
      <c r="P103" s="36"/>
      <c r="Q103" s="36"/>
      <c r="R103" s="41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41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41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41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41"/>
      <c r="BU103" s="36"/>
      <c r="BV103" s="36"/>
      <c r="BW103" s="36"/>
      <c r="BX103" s="36"/>
      <c r="BY103" s="36"/>
      <c r="BZ103" s="36"/>
      <c r="CA103" s="36"/>
      <c r="CB103" s="36"/>
      <c r="CC103" s="60">
        <f t="shared" si="3"/>
        <v>0</v>
      </c>
      <c r="CD103" s="37"/>
      <c r="CE103" s="26"/>
      <c r="CF103" s="20"/>
      <c r="CG103" s="42" t="str">
        <f t="shared" si="4"/>
        <v>0</v>
      </c>
    </row>
    <row r="104" spans="1:85" ht="89.25" customHeight="1" x14ac:dyDescent="0.25">
      <c r="A104" s="66">
        <v>4</v>
      </c>
      <c r="B104" s="39" t="s">
        <v>79</v>
      </c>
      <c r="C104" s="39"/>
      <c r="D104" s="62" t="s">
        <v>80</v>
      </c>
      <c r="E104" s="50" t="s">
        <v>81</v>
      </c>
      <c r="F104" s="62" t="s">
        <v>82</v>
      </c>
      <c r="G104" s="50" t="s">
        <v>20</v>
      </c>
      <c r="H104" s="50">
        <v>2000</v>
      </c>
      <c r="I104" s="43"/>
      <c r="J104" s="36"/>
      <c r="K104" s="3"/>
      <c r="L104" s="2"/>
      <c r="M104" s="3"/>
      <c r="N104" s="3"/>
      <c r="O104" s="3"/>
      <c r="P104" s="3"/>
      <c r="Q104" s="3"/>
      <c r="R104" s="3"/>
      <c r="S104" s="3"/>
      <c r="T104" s="3"/>
      <c r="U104" s="25"/>
      <c r="V104" s="25"/>
      <c r="W104" s="25"/>
      <c r="X104" s="64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41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41"/>
      <c r="BX104" s="41"/>
      <c r="BY104" s="41"/>
      <c r="BZ104" s="41"/>
      <c r="CA104" s="41"/>
      <c r="CB104" s="41"/>
      <c r="CC104" s="60">
        <f t="shared" si="3"/>
        <v>0</v>
      </c>
      <c r="CD104" s="34"/>
      <c r="CE104" s="15"/>
      <c r="CF104" s="20"/>
      <c r="CG104" s="42" t="str">
        <f t="shared" si="4"/>
        <v>0</v>
      </c>
    </row>
    <row r="105" spans="1:85" ht="67.5" customHeight="1" x14ac:dyDescent="0.25">
      <c r="A105" s="66">
        <v>7</v>
      </c>
      <c r="B105" s="39" t="s">
        <v>143</v>
      </c>
      <c r="C105" s="70" t="s">
        <v>144</v>
      </c>
      <c r="D105" s="62" t="s">
        <v>145</v>
      </c>
      <c r="E105" s="50">
        <v>7708911555</v>
      </c>
      <c r="F105" s="62" t="s">
        <v>146</v>
      </c>
      <c r="G105" s="50" t="s">
        <v>132</v>
      </c>
      <c r="H105" s="50">
        <v>1100</v>
      </c>
      <c r="I105" s="37"/>
      <c r="J105" s="37"/>
      <c r="K105" s="37"/>
      <c r="L105" s="37"/>
      <c r="M105" s="37"/>
      <c r="N105" s="37"/>
      <c r="O105" s="36"/>
      <c r="P105" s="36"/>
      <c r="Q105" s="36"/>
      <c r="R105" s="36"/>
      <c r="S105" s="36"/>
      <c r="T105" s="36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6"/>
      <c r="BX105" s="36"/>
      <c r="BY105" s="36"/>
      <c r="BZ105" s="36"/>
      <c r="CA105" s="36"/>
      <c r="CB105" s="36"/>
      <c r="CC105" s="60">
        <f t="shared" si="3"/>
        <v>0</v>
      </c>
      <c r="CD105" s="37"/>
      <c r="CE105" s="26"/>
      <c r="CF105" s="20"/>
      <c r="CG105" s="42" t="str">
        <f t="shared" si="4"/>
        <v>0</v>
      </c>
    </row>
    <row r="106" spans="1:85" ht="61.5" customHeight="1" x14ac:dyDescent="0.25">
      <c r="A106" s="66">
        <v>13</v>
      </c>
      <c r="B106" s="39" t="s">
        <v>83</v>
      </c>
      <c r="C106" s="39"/>
      <c r="D106" s="62" t="s">
        <v>84</v>
      </c>
      <c r="E106" s="50">
        <v>8015686242</v>
      </c>
      <c r="F106" s="62" t="s">
        <v>85</v>
      </c>
      <c r="G106" s="50" t="s">
        <v>20</v>
      </c>
      <c r="H106" s="50">
        <v>2400</v>
      </c>
      <c r="I106" s="43"/>
      <c r="J106" s="37"/>
      <c r="K106" s="37"/>
      <c r="L106" s="25"/>
      <c r="M106" s="37"/>
      <c r="N106" s="37"/>
      <c r="O106" s="2"/>
      <c r="P106" s="2"/>
      <c r="Q106" s="2"/>
      <c r="R106" s="2"/>
      <c r="S106" s="2"/>
      <c r="T106" s="2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41"/>
      <c r="BX106" s="41"/>
      <c r="BY106" s="41"/>
      <c r="BZ106" s="41"/>
      <c r="CA106" s="41"/>
      <c r="CB106" s="41"/>
      <c r="CC106" s="60">
        <f t="shared" si="3"/>
        <v>0</v>
      </c>
      <c r="CD106" s="37"/>
      <c r="CE106" s="26"/>
      <c r="CF106" s="20"/>
      <c r="CG106" s="42" t="str">
        <f t="shared" si="4"/>
        <v>0</v>
      </c>
    </row>
    <row r="107" spans="1:85" ht="57" customHeight="1" x14ac:dyDescent="0.25">
      <c r="A107" s="66">
        <v>14</v>
      </c>
      <c r="B107" s="39" t="s">
        <v>29</v>
      </c>
      <c r="C107" s="39"/>
      <c r="D107" s="62" t="s">
        <v>72</v>
      </c>
      <c r="E107" s="50" t="s">
        <v>73</v>
      </c>
      <c r="F107" s="62" t="s">
        <v>74</v>
      </c>
      <c r="G107" s="50" t="s">
        <v>20</v>
      </c>
      <c r="H107" s="50">
        <v>625</v>
      </c>
      <c r="I107" s="37"/>
      <c r="J107" s="37"/>
      <c r="K107" s="37"/>
      <c r="L107" s="25"/>
      <c r="M107" s="37"/>
      <c r="N107" s="37"/>
      <c r="O107" s="2"/>
      <c r="P107" s="2"/>
      <c r="Q107" s="2"/>
      <c r="R107" s="2"/>
      <c r="S107" s="2"/>
      <c r="T107" s="2"/>
      <c r="U107" s="25"/>
      <c r="V107" s="25"/>
      <c r="W107" s="25"/>
      <c r="X107" s="37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41"/>
      <c r="BX107" s="41"/>
      <c r="BY107" s="41"/>
      <c r="BZ107" s="41"/>
      <c r="CA107" s="41"/>
      <c r="CB107" s="41"/>
      <c r="CC107" s="60">
        <f t="shared" si="3"/>
        <v>0</v>
      </c>
      <c r="CD107" s="37"/>
      <c r="CE107" s="26"/>
      <c r="CF107" s="20"/>
      <c r="CG107" s="42" t="str">
        <f t="shared" si="4"/>
        <v>0</v>
      </c>
    </row>
    <row r="108" spans="1:85" ht="57" customHeight="1" x14ac:dyDescent="0.25">
      <c r="A108" s="65">
        <v>18</v>
      </c>
      <c r="B108" s="39" t="s">
        <v>86</v>
      </c>
      <c r="C108" s="39"/>
      <c r="D108" s="62" t="s">
        <v>87</v>
      </c>
      <c r="E108" s="50">
        <v>9842255399</v>
      </c>
      <c r="F108" s="62" t="s">
        <v>88</v>
      </c>
      <c r="G108" s="50" t="s">
        <v>20</v>
      </c>
      <c r="H108" s="50">
        <v>2500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25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25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25"/>
      <c r="BU108" s="37"/>
      <c r="BV108" s="37"/>
      <c r="BW108" s="36"/>
      <c r="BX108" s="36"/>
      <c r="BY108" s="36"/>
      <c r="BZ108" s="36"/>
      <c r="CA108" s="36"/>
      <c r="CB108" s="36"/>
      <c r="CC108" s="60">
        <f t="shared" si="3"/>
        <v>0</v>
      </c>
      <c r="CD108" s="37"/>
      <c r="CE108" s="26"/>
      <c r="CF108" s="20"/>
      <c r="CG108" s="42" t="str">
        <f t="shared" si="4"/>
        <v>0</v>
      </c>
    </row>
    <row r="109" spans="1:85" ht="89.25" customHeight="1" x14ac:dyDescent="0.25">
      <c r="A109" s="65">
        <v>20</v>
      </c>
      <c r="B109" s="67" t="s">
        <v>57</v>
      </c>
      <c r="C109" s="67"/>
      <c r="D109" s="68" t="s">
        <v>58</v>
      </c>
      <c r="E109" s="69" t="s">
        <v>59</v>
      </c>
      <c r="F109" s="68" t="s">
        <v>60</v>
      </c>
      <c r="G109" s="69" t="s">
        <v>15</v>
      </c>
      <c r="H109" s="69">
        <v>2000</v>
      </c>
      <c r="I109" s="36"/>
      <c r="J109" s="36"/>
      <c r="K109" s="36"/>
      <c r="L109" s="41"/>
      <c r="M109" s="36"/>
      <c r="N109" s="36"/>
      <c r="O109" s="3"/>
      <c r="P109" s="3"/>
      <c r="Q109" s="3"/>
      <c r="R109" s="3"/>
      <c r="S109" s="3"/>
      <c r="T109" s="3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60">
        <f t="shared" si="3"/>
        <v>0</v>
      </c>
      <c r="CD109" s="36"/>
      <c r="CE109" s="51"/>
      <c r="CF109" s="24"/>
      <c r="CG109" s="42" t="str">
        <f t="shared" si="4"/>
        <v>0</v>
      </c>
    </row>
    <row r="110" spans="1:85" ht="61.5" customHeight="1" x14ac:dyDescent="0.25">
      <c r="A110" s="66">
        <v>21</v>
      </c>
      <c r="B110" s="39" t="s">
        <v>120</v>
      </c>
      <c r="C110" s="39"/>
      <c r="D110" s="62" t="s">
        <v>121</v>
      </c>
      <c r="E110" s="50">
        <v>8144458296</v>
      </c>
      <c r="F110" s="62" t="s">
        <v>19</v>
      </c>
      <c r="G110" s="50" t="s">
        <v>15</v>
      </c>
      <c r="H110" s="50">
        <v>200</v>
      </c>
      <c r="I110" s="37"/>
      <c r="J110" s="37"/>
      <c r="K110" s="37"/>
      <c r="L110" s="25"/>
      <c r="M110" s="37"/>
      <c r="N110" s="37"/>
      <c r="O110" s="2"/>
      <c r="P110" s="2"/>
      <c r="Q110" s="2"/>
      <c r="R110" s="2"/>
      <c r="S110" s="2"/>
      <c r="T110" s="2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41"/>
      <c r="BX110" s="41"/>
      <c r="BY110" s="41"/>
      <c r="BZ110" s="41"/>
      <c r="CA110" s="41"/>
      <c r="CB110" s="41"/>
      <c r="CC110" s="60">
        <f t="shared" si="3"/>
        <v>0</v>
      </c>
      <c r="CD110" s="37"/>
      <c r="CE110" s="26"/>
      <c r="CF110" s="20"/>
      <c r="CG110" s="42" t="str">
        <f t="shared" si="4"/>
        <v>0</v>
      </c>
    </row>
    <row r="111" spans="1:85" ht="57" customHeight="1" x14ac:dyDescent="0.25">
      <c r="A111" s="66">
        <v>24</v>
      </c>
      <c r="B111" s="39" t="s">
        <v>135</v>
      </c>
      <c r="C111" s="70"/>
      <c r="D111" s="62" t="s">
        <v>105</v>
      </c>
      <c r="E111" s="50">
        <v>9791504764</v>
      </c>
      <c r="F111" s="62" t="s">
        <v>136</v>
      </c>
      <c r="G111" s="50" t="s">
        <v>133</v>
      </c>
      <c r="H111" s="50">
        <v>650</v>
      </c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6"/>
      <c r="BX111" s="36"/>
      <c r="BY111" s="36"/>
      <c r="BZ111" s="36"/>
      <c r="CA111" s="36"/>
      <c r="CB111" s="36"/>
      <c r="CC111" s="60">
        <f t="shared" si="3"/>
        <v>0</v>
      </c>
      <c r="CD111" s="37"/>
      <c r="CE111" s="26"/>
      <c r="CF111" s="20"/>
      <c r="CG111" s="42" t="str">
        <f t="shared" si="4"/>
        <v>0</v>
      </c>
    </row>
  </sheetData>
  <sortState ref="B21:CF22">
    <sortCondition ref="B21"/>
  </sortState>
  <mergeCells count="38">
    <mergeCell ref="A1:CG1"/>
    <mergeCell ref="CC2:CC3"/>
    <mergeCell ref="G2:G3"/>
    <mergeCell ref="H2:H3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AD2:AF2"/>
    <mergeCell ref="BW2:BY2"/>
    <mergeCell ref="A2:A3"/>
    <mergeCell ref="B2:B3"/>
    <mergeCell ref="CD2:CD3"/>
    <mergeCell ref="CE2:CE3"/>
    <mergeCell ref="BZ2:CB2"/>
    <mergeCell ref="X2:Z2"/>
    <mergeCell ref="U2:W2"/>
    <mergeCell ref="I2:K2"/>
    <mergeCell ref="L2:N2"/>
    <mergeCell ref="O2:Q2"/>
    <mergeCell ref="R2:T2"/>
    <mergeCell ref="C2:C3"/>
    <mergeCell ref="E2:E3"/>
    <mergeCell ref="F2:F3"/>
    <mergeCell ref="BQ2:BS2"/>
    <mergeCell ref="AA2:AC2"/>
    <mergeCell ref="BK2:BM2"/>
    <mergeCell ref="D2:D3"/>
    <mergeCell ref="CH2:CH3"/>
    <mergeCell ref="CF2:CF3"/>
    <mergeCell ref="BT2:BV2"/>
    <mergeCell ref="BH2:BJ2"/>
    <mergeCell ref="BN2:BP2"/>
  </mergeCells>
  <hyperlinks>
    <hyperlink ref="C8" r:id="rId1" xr:uid="{00000000-0004-0000-0F00-000000000000}"/>
    <hyperlink ref="C105" r:id="rId2" xr:uid="{00000000-0004-0000-0F00-000001000000}"/>
    <hyperlink ref="C11" r:id="rId3" xr:uid="{00000000-0004-0000-0F00-000002000000}"/>
  </hyperlinks>
  <pageMargins left="0.7" right="0.7" top="0.75" bottom="0.75" header="0.3" footer="0.3"/>
  <pageSetup paperSize="9" orientation="portrait" verticalDpi="12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B53"/>
  <sheetViews>
    <sheetView topLeftCell="A37" zoomScale="70" zoomScaleNormal="70" workbookViewId="0">
      <selection activeCell="B53" sqref="B53"/>
    </sheetView>
  </sheetViews>
  <sheetFormatPr defaultColWidth="9.140625" defaultRowHeight="15" x14ac:dyDescent="0.25"/>
  <cols>
    <col min="1" max="1" width="7.85546875" style="13" customWidth="1"/>
    <col min="2" max="2" width="35.5703125" style="21" customWidth="1"/>
    <col min="3" max="3" width="35.5703125" style="21" hidden="1" customWidth="1"/>
    <col min="4" max="4" width="29.140625" style="21" customWidth="1"/>
    <col min="5" max="5" width="15.5703125" style="21" customWidth="1"/>
    <col min="6" max="6" width="24.85546875" style="21" customWidth="1"/>
    <col min="7" max="7" width="10.5703125" style="13" customWidth="1"/>
    <col min="8" max="8" width="8.5703125" style="22" customWidth="1"/>
    <col min="9" max="14" width="4.42578125" style="13" customWidth="1"/>
    <col min="15" max="20" width="5" style="13" hidden="1" customWidth="1"/>
    <col min="21" max="74" width="4" style="13" hidden="1" customWidth="1"/>
    <col min="75" max="75" width="8" style="6" customWidth="1"/>
    <col min="76" max="76" width="24.5703125" style="6" customWidth="1"/>
    <col min="77" max="77" width="17" style="6" customWidth="1"/>
    <col min="78" max="78" width="31.85546875" style="23" customWidth="1"/>
    <col min="79" max="79" width="9.140625" style="13"/>
    <col min="80" max="80" width="34.28515625" style="13" customWidth="1"/>
    <col min="81" max="16384" width="9.140625" style="13"/>
  </cols>
  <sheetData>
    <row r="1" spans="1:80" ht="34.5" thickBot="1" x14ac:dyDescent="0.3">
      <c r="A1" s="406" t="s">
        <v>212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  <c r="BY1" s="406"/>
      <c r="BZ1" s="406"/>
      <c r="CA1" s="406"/>
    </row>
    <row r="2" spans="1:80" ht="16.5" thickBot="1" x14ac:dyDescent="0.3">
      <c r="A2" s="550" t="s">
        <v>38</v>
      </c>
      <c r="B2" s="552" t="s">
        <v>0</v>
      </c>
      <c r="C2" s="554" t="s">
        <v>131</v>
      </c>
      <c r="D2" s="408" t="s">
        <v>2</v>
      </c>
      <c r="E2" s="408" t="s">
        <v>56</v>
      </c>
      <c r="F2" s="556" t="s">
        <v>1</v>
      </c>
      <c r="G2" s="408" t="s">
        <v>3</v>
      </c>
      <c r="H2" s="408" t="s">
        <v>17</v>
      </c>
      <c r="I2" s="558" t="s">
        <v>129</v>
      </c>
      <c r="J2" s="559"/>
      <c r="K2" s="560"/>
      <c r="L2" s="558" t="s">
        <v>130</v>
      </c>
      <c r="M2" s="559"/>
      <c r="N2" s="560"/>
      <c r="O2" s="558" t="s">
        <v>165</v>
      </c>
      <c r="P2" s="559"/>
      <c r="Q2" s="560"/>
      <c r="R2" s="558" t="s">
        <v>166</v>
      </c>
      <c r="S2" s="559"/>
      <c r="T2" s="560"/>
      <c r="U2" s="558" t="s">
        <v>103</v>
      </c>
      <c r="V2" s="559"/>
      <c r="W2" s="560"/>
      <c r="X2" s="558" t="s">
        <v>104</v>
      </c>
      <c r="Y2" s="559"/>
      <c r="Z2" s="560"/>
      <c r="AA2" s="396" t="s">
        <v>106</v>
      </c>
      <c r="AB2" s="390"/>
      <c r="AC2" s="397"/>
      <c r="AD2" s="396" t="s">
        <v>107</v>
      </c>
      <c r="AE2" s="390"/>
      <c r="AF2" s="397"/>
      <c r="AG2" s="396" t="s">
        <v>37</v>
      </c>
      <c r="AH2" s="390"/>
      <c r="AI2" s="397"/>
      <c r="AJ2" s="396" t="s">
        <v>108</v>
      </c>
      <c r="AK2" s="390"/>
      <c r="AL2" s="397"/>
      <c r="AM2" s="396" t="s">
        <v>112</v>
      </c>
      <c r="AN2" s="390"/>
      <c r="AO2" s="397"/>
      <c r="AP2" s="396" t="s">
        <v>109</v>
      </c>
      <c r="AQ2" s="390"/>
      <c r="AR2" s="397"/>
      <c r="AS2" s="396" t="s">
        <v>47</v>
      </c>
      <c r="AT2" s="390"/>
      <c r="AU2" s="397"/>
      <c r="AV2" s="396" t="s">
        <v>48</v>
      </c>
      <c r="AW2" s="390"/>
      <c r="AX2" s="397"/>
      <c r="AY2" s="396" t="s">
        <v>113</v>
      </c>
      <c r="AZ2" s="390"/>
      <c r="BA2" s="397"/>
      <c r="BB2" s="396" t="s">
        <v>114</v>
      </c>
      <c r="BC2" s="390"/>
      <c r="BD2" s="397"/>
      <c r="BE2" s="396" t="s">
        <v>124</v>
      </c>
      <c r="BF2" s="390"/>
      <c r="BG2" s="397"/>
      <c r="BH2" s="396" t="s">
        <v>52</v>
      </c>
      <c r="BI2" s="390"/>
      <c r="BJ2" s="397"/>
      <c r="BK2" s="396" t="s">
        <v>54</v>
      </c>
      <c r="BL2" s="390"/>
      <c r="BM2" s="397"/>
      <c r="BN2" s="396" t="s">
        <v>53</v>
      </c>
      <c r="BO2" s="390"/>
      <c r="BP2" s="397"/>
      <c r="BQ2" s="396" t="s">
        <v>126</v>
      </c>
      <c r="BR2" s="390"/>
      <c r="BS2" s="397"/>
      <c r="BT2" s="396" t="s">
        <v>125</v>
      </c>
      <c r="BU2" s="390"/>
      <c r="BV2" s="397"/>
      <c r="BW2" s="408" t="s">
        <v>28</v>
      </c>
      <c r="BX2" s="550" t="s">
        <v>10</v>
      </c>
      <c r="BY2" s="550" t="s">
        <v>18</v>
      </c>
      <c r="BZ2" s="561" t="s">
        <v>14</v>
      </c>
      <c r="CA2" s="107"/>
      <c r="CB2" s="563" t="s">
        <v>211</v>
      </c>
    </row>
    <row r="3" spans="1:80" ht="16.5" thickBot="1" x14ac:dyDescent="0.3">
      <c r="A3" s="551"/>
      <c r="B3" s="553"/>
      <c r="C3" s="555"/>
      <c r="D3" s="409"/>
      <c r="E3" s="409"/>
      <c r="F3" s="557"/>
      <c r="G3" s="409"/>
      <c r="H3" s="409"/>
      <c r="I3" s="61" t="s">
        <v>12</v>
      </c>
      <c r="J3" s="61" t="s">
        <v>13</v>
      </c>
      <c r="K3" s="61" t="s">
        <v>32</v>
      </c>
      <c r="L3" s="61" t="s">
        <v>12</v>
      </c>
      <c r="M3" s="61" t="s">
        <v>13</v>
      </c>
      <c r="N3" s="61" t="s">
        <v>32</v>
      </c>
      <c r="O3" s="61" t="s">
        <v>12</v>
      </c>
      <c r="P3" s="61" t="s">
        <v>13</v>
      </c>
      <c r="Q3" s="61" t="s">
        <v>32</v>
      </c>
      <c r="R3" s="61" t="s">
        <v>12</v>
      </c>
      <c r="S3" s="61" t="s">
        <v>13</v>
      </c>
      <c r="T3" s="61" t="s">
        <v>32</v>
      </c>
      <c r="U3" s="61" t="s">
        <v>12</v>
      </c>
      <c r="V3" s="61" t="s">
        <v>13</v>
      </c>
      <c r="W3" s="61" t="s">
        <v>32</v>
      </c>
      <c r="X3" s="61" t="s">
        <v>12</v>
      </c>
      <c r="Y3" s="61" t="s">
        <v>13</v>
      </c>
      <c r="Z3" s="61" t="s">
        <v>32</v>
      </c>
      <c r="AA3" s="118" t="s">
        <v>12</v>
      </c>
      <c r="AB3" s="118" t="s">
        <v>13</v>
      </c>
      <c r="AC3" s="118" t="s">
        <v>32</v>
      </c>
      <c r="AD3" s="118" t="s">
        <v>12</v>
      </c>
      <c r="AE3" s="118" t="s">
        <v>13</v>
      </c>
      <c r="AF3" s="118" t="s">
        <v>32</v>
      </c>
      <c r="AG3" s="118" t="s">
        <v>12</v>
      </c>
      <c r="AH3" s="118" t="s">
        <v>13</v>
      </c>
      <c r="AI3" s="118" t="s">
        <v>32</v>
      </c>
      <c r="AJ3" s="118" t="s">
        <v>12</v>
      </c>
      <c r="AK3" s="118" t="s">
        <v>13</v>
      </c>
      <c r="AL3" s="118" t="s">
        <v>32</v>
      </c>
      <c r="AM3" s="118" t="s">
        <v>12</v>
      </c>
      <c r="AN3" s="118" t="s">
        <v>13</v>
      </c>
      <c r="AO3" s="118" t="s">
        <v>32</v>
      </c>
      <c r="AP3" s="118" t="s">
        <v>12</v>
      </c>
      <c r="AQ3" s="118" t="s">
        <v>13</v>
      </c>
      <c r="AR3" s="118" t="s">
        <v>32</v>
      </c>
      <c r="AS3" s="118" t="s">
        <v>12</v>
      </c>
      <c r="AT3" s="118" t="s">
        <v>13</v>
      </c>
      <c r="AU3" s="118" t="s">
        <v>32</v>
      </c>
      <c r="AV3" s="118" t="s">
        <v>12</v>
      </c>
      <c r="AW3" s="118" t="s">
        <v>13</v>
      </c>
      <c r="AX3" s="118" t="s">
        <v>32</v>
      </c>
      <c r="AY3" s="118" t="s">
        <v>12</v>
      </c>
      <c r="AZ3" s="118" t="s">
        <v>13</v>
      </c>
      <c r="BA3" s="118" t="s">
        <v>32</v>
      </c>
      <c r="BB3" s="118" t="s">
        <v>12</v>
      </c>
      <c r="BC3" s="118" t="s">
        <v>13</v>
      </c>
      <c r="BD3" s="118" t="s">
        <v>32</v>
      </c>
      <c r="BE3" s="118" t="s">
        <v>12</v>
      </c>
      <c r="BF3" s="118" t="s">
        <v>13</v>
      </c>
      <c r="BG3" s="118" t="s">
        <v>32</v>
      </c>
      <c r="BH3" s="118" t="s">
        <v>12</v>
      </c>
      <c r="BI3" s="118" t="s">
        <v>13</v>
      </c>
      <c r="BJ3" s="118" t="s">
        <v>32</v>
      </c>
      <c r="BK3" s="118" t="s">
        <v>12</v>
      </c>
      <c r="BL3" s="118" t="s">
        <v>13</v>
      </c>
      <c r="BM3" s="118" t="s">
        <v>32</v>
      </c>
      <c r="BN3" s="118" t="s">
        <v>12</v>
      </c>
      <c r="BO3" s="118" t="s">
        <v>13</v>
      </c>
      <c r="BP3" s="118" t="s">
        <v>32</v>
      </c>
      <c r="BQ3" s="118" t="s">
        <v>12</v>
      </c>
      <c r="BR3" s="118" t="s">
        <v>13</v>
      </c>
      <c r="BS3" s="118" t="s">
        <v>32</v>
      </c>
      <c r="BT3" s="118" t="s">
        <v>12</v>
      </c>
      <c r="BU3" s="118" t="s">
        <v>13</v>
      </c>
      <c r="BV3" s="118" t="s">
        <v>32</v>
      </c>
      <c r="BW3" s="409"/>
      <c r="BX3" s="551"/>
      <c r="BY3" s="551"/>
      <c r="BZ3" s="562"/>
      <c r="CA3" s="107"/>
      <c r="CB3" s="564"/>
    </row>
    <row r="4" spans="1:80" ht="93" customHeight="1" x14ac:dyDescent="0.25">
      <c r="A4" s="66">
        <v>1</v>
      </c>
      <c r="B4" s="71" t="s">
        <v>213</v>
      </c>
      <c r="C4" s="77"/>
      <c r="D4" s="50" t="s">
        <v>214</v>
      </c>
      <c r="E4" s="72">
        <v>9789295591</v>
      </c>
      <c r="F4" s="1"/>
      <c r="G4" s="1"/>
      <c r="H4" s="72"/>
      <c r="I4" s="14"/>
      <c r="J4" s="2"/>
      <c r="K4" s="2"/>
      <c r="L4" s="2"/>
      <c r="M4" s="2"/>
      <c r="N4" s="2"/>
      <c r="O4" s="2"/>
      <c r="P4" s="2"/>
      <c r="Q4" s="2"/>
      <c r="R4" s="2"/>
      <c r="S4" s="2"/>
      <c r="T4" s="5"/>
      <c r="U4" s="14"/>
      <c r="V4" s="5"/>
      <c r="W4" s="5"/>
      <c r="X4" s="14"/>
      <c r="Y4" s="5"/>
      <c r="Z4" s="5"/>
      <c r="AA4" s="5"/>
      <c r="AB4" s="5"/>
      <c r="AC4" s="5"/>
      <c r="AD4" s="16"/>
      <c r="AE4" s="5"/>
      <c r="AF4" s="5"/>
      <c r="AG4" s="17"/>
      <c r="AH4" s="17"/>
      <c r="AI4" s="17"/>
      <c r="AJ4" s="18"/>
      <c r="AK4" s="17"/>
      <c r="AL4" s="17"/>
      <c r="AM4" s="17"/>
      <c r="AN4" s="17"/>
      <c r="AO4" s="17"/>
      <c r="AP4" s="18"/>
      <c r="AQ4" s="17"/>
      <c r="AR4" s="17"/>
      <c r="AS4" s="18"/>
      <c r="AT4" s="17"/>
      <c r="AU4" s="17"/>
      <c r="AV4" s="18"/>
      <c r="AW4" s="17"/>
      <c r="AX4" s="17"/>
      <c r="AY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6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57">
        <f>COUNTA(I4:BV4)</f>
        <v>0</v>
      </c>
      <c r="BX4" s="5"/>
      <c r="BY4" s="28"/>
      <c r="BZ4" s="20"/>
      <c r="CA4" s="98" t="str">
        <f t="shared" ref="CA4" si="0">IF(BW4&lt;=0,"0",IF(BW4=1,"1",IF(BW4=2,"2",IF(BW4=3,"3",IF(BW4&gt;=4,"4")))))</f>
        <v>0</v>
      </c>
      <c r="CB4" s="38"/>
    </row>
    <row r="48" spans="1:79" ht="37.5" x14ac:dyDescent="0.25">
      <c r="A48" s="66">
        <v>2</v>
      </c>
      <c r="B48" s="76" t="s">
        <v>153</v>
      </c>
      <c r="C48" s="76"/>
      <c r="D48" s="62"/>
      <c r="E48" s="72"/>
      <c r="F48" s="72" t="s">
        <v>152</v>
      </c>
      <c r="G48" s="1" t="s">
        <v>15</v>
      </c>
      <c r="H48" s="72">
        <v>1500</v>
      </c>
      <c r="I48" s="28"/>
      <c r="J48" s="28"/>
      <c r="K48" s="28"/>
      <c r="L48" s="28"/>
      <c r="M48" s="28"/>
      <c r="N48" s="28"/>
      <c r="O48" s="52"/>
      <c r="P48" s="52"/>
      <c r="Q48" s="52"/>
      <c r="R48" s="52"/>
      <c r="S48" s="52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16"/>
      <c r="AE48" s="28"/>
      <c r="AF48" s="28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7">
        <f t="shared" ref="BW48:BW53" si="1">COUNTA(I48:AX48)</f>
        <v>0</v>
      </c>
      <c r="BX48" s="28"/>
      <c r="BY48" s="28"/>
      <c r="BZ48" s="85" t="s">
        <v>199</v>
      </c>
      <c r="CA48" s="27" t="str">
        <f t="shared" ref="CA48:CA53" si="2">IF(BW48&lt;=0,"0",IF(BW48=1,"1",IF(BW48=2,"2",IF(BW48=3,"3",IF(BW48&gt;=4,"4")))))</f>
        <v>0</v>
      </c>
    </row>
    <row r="49" spans="1:79" ht="21" x14ac:dyDescent="0.25">
      <c r="A49" s="66">
        <v>4</v>
      </c>
      <c r="B49" s="83" t="s">
        <v>157</v>
      </c>
      <c r="C49" s="83"/>
      <c r="D49" s="75"/>
      <c r="E49" s="72">
        <v>7947327401</v>
      </c>
      <c r="F49" s="73" t="s">
        <v>158</v>
      </c>
      <c r="G49" s="73" t="s">
        <v>132</v>
      </c>
      <c r="H49" s="74">
        <v>700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7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7">
        <f t="shared" si="1"/>
        <v>0</v>
      </c>
      <c r="BX49" s="28"/>
      <c r="BY49" s="28"/>
      <c r="BZ49" s="85" t="s">
        <v>199</v>
      </c>
      <c r="CA49" s="27" t="str">
        <f t="shared" si="2"/>
        <v>0</v>
      </c>
    </row>
    <row r="50" spans="1:79" ht="37.5" x14ac:dyDescent="0.25">
      <c r="A50" s="66">
        <v>9</v>
      </c>
      <c r="B50" s="76" t="s">
        <v>160</v>
      </c>
      <c r="C50" s="76"/>
      <c r="D50" s="50"/>
      <c r="E50" s="72"/>
      <c r="F50" s="1" t="s">
        <v>152</v>
      </c>
      <c r="G50" s="1" t="s">
        <v>132</v>
      </c>
      <c r="H50" s="72"/>
      <c r="I50" s="14"/>
      <c r="J50" s="14"/>
      <c r="K50" s="14"/>
      <c r="L50" s="14"/>
      <c r="M50" s="14"/>
      <c r="N50" s="14"/>
      <c r="O50" s="38"/>
      <c r="P50" s="38"/>
      <c r="Q50" s="38"/>
      <c r="R50" s="14"/>
      <c r="S50" s="38"/>
      <c r="T50" s="38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57">
        <f t="shared" si="1"/>
        <v>0</v>
      </c>
      <c r="BX50" s="26"/>
      <c r="BY50" s="26"/>
      <c r="BZ50" s="86" t="s">
        <v>200</v>
      </c>
      <c r="CA50" s="27" t="str">
        <f t="shared" si="2"/>
        <v>0</v>
      </c>
    </row>
    <row r="51" spans="1:79" ht="37.5" x14ac:dyDescent="0.25">
      <c r="A51" s="66">
        <v>10</v>
      </c>
      <c r="B51" s="77" t="s">
        <v>156</v>
      </c>
      <c r="C51" s="77"/>
      <c r="D51" s="59"/>
      <c r="E51" s="72">
        <v>4324221661</v>
      </c>
      <c r="F51" s="73" t="s">
        <v>182</v>
      </c>
      <c r="G51" s="73" t="s">
        <v>132</v>
      </c>
      <c r="H51" s="74">
        <v>650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78"/>
      <c r="V51" s="28"/>
      <c r="W51" s="28"/>
      <c r="X51" s="28"/>
      <c r="Y51" s="28"/>
      <c r="Z51" s="28"/>
      <c r="AA51" s="28"/>
      <c r="AB51" s="28"/>
      <c r="AC51" s="28"/>
      <c r="AD51" s="16"/>
      <c r="AE51" s="28"/>
      <c r="AF51" s="28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7">
        <f t="shared" si="1"/>
        <v>0</v>
      </c>
      <c r="BX51" s="28"/>
      <c r="BY51" s="28"/>
      <c r="BZ51" s="85" t="s">
        <v>200</v>
      </c>
      <c r="CA51" s="27" t="str">
        <f t="shared" si="2"/>
        <v>0</v>
      </c>
    </row>
    <row r="52" spans="1:79" ht="21" x14ac:dyDescent="0.25">
      <c r="A52" s="66">
        <v>13</v>
      </c>
      <c r="B52" s="77" t="s">
        <v>161</v>
      </c>
      <c r="C52" s="77"/>
      <c r="D52" s="59"/>
      <c r="E52" s="72"/>
      <c r="F52" s="74" t="s">
        <v>152</v>
      </c>
      <c r="G52" s="73" t="s">
        <v>132</v>
      </c>
      <c r="H52" s="74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E52" s="28"/>
      <c r="AF52" s="28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7">
        <f t="shared" si="1"/>
        <v>0</v>
      </c>
      <c r="BX52" s="28"/>
      <c r="BY52" s="28"/>
      <c r="BZ52" s="85" t="s">
        <v>199</v>
      </c>
      <c r="CA52" s="27" t="str">
        <f t="shared" si="2"/>
        <v>0</v>
      </c>
    </row>
    <row r="53" spans="1:79" ht="37.5" x14ac:dyDescent="0.25">
      <c r="A53" s="66">
        <v>14</v>
      </c>
      <c r="B53" s="84" t="s">
        <v>154</v>
      </c>
      <c r="C53" s="84"/>
      <c r="D53" s="59"/>
      <c r="E53" s="72">
        <v>7402722048</v>
      </c>
      <c r="F53" s="74" t="s">
        <v>155</v>
      </c>
      <c r="G53" s="73" t="s">
        <v>132</v>
      </c>
      <c r="H53" s="74">
        <v>1000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16"/>
      <c r="AE53" s="28"/>
      <c r="AF53" s="28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7">
        <f t="shared" si="1"/>
        <v>0</v>
      </c>
      <c r="BX53" s="28"/>
      <c r="BY53" s="28"/>
      <c r="BZ53" s="85" t="s">
        <v>199</v>
      </c>
      <c r="CA53" s="27" t="str">
        <f t="shared" si="2"/>
        <v>0</v>
      </c>
    </row>
  </sheetData>
  <mergeCells count="36">
    <mergeCell ref="BZ2:BZ3"/>
    <mergeCell ref="CB2:CB3"/>
    <mergeCell ref="BN2:BP2"/>
    <mergeCell ref="BQ2:BS2"/>
    <mergeCell ref="BT2:BV2"/>
    <mergeCell ref="BW2:BW3"/>
    <mergeCell ref="BX2:BX3"/>
    <mergeCell ref="BY2:BY3"/>
    <mergeCell ref="BK2:BM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AA2:AC2"/>
    <mergeCell ref="A1:CA1"/>
    <mergeCell ref="A2:A3"/>
    <mergeCell ref="B2:B3"/>
    <mergeCell ref="C2:C3"/>
    <mergeCell ref="D2:D3"/>
    <mergeCell ref="E2:E3"/>
    <mergeCell ref="F2:F3"/>
    <mergeCell ref="G2:G3"/>
    <mergeCell ref="H2:H3"/>
    <mergeCell ref="I2:K2"/>
    <mergeCell ref="L2:N2"/>
    <mergeCell ref="O2:Q2"/>
    <mergeCell ref="R2:T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ARIYALUR</vt:lpstr>
      <vt:lpstr>DINDIGUL</vt:lpstr>
      <vt:lpstr>KARUR</vt:lpstr>
      <vt:lpstr>MAYILADUTHURAI</vt:lpstr>
      <vt:lpstr>NAGAPATTINUM</vt:lpstr>
      <vt:lpstr>THANJUR</vt:lpstr>
      <vt:lpstr>TIRUCHIRAPPALLI</vt:lpstr>
      <vt:lpstr>PUDUKKOTTAI</vt:lpstr>
      <vt:lpstr>KUMBAKONAM</vt:lpstr>
      <vt:lpstr>KARAIKAL </vt:lpstr>
      <vt:lpstr>SUMMARY</vt:lpstr>
      <vt:lpstr>Q. BANK </vt:lpstr>
      <vt:lpstr>WORKSHOP</vt:lpstr>
      <vt:lpstr>I.P. SUMMARY </vt:lpstr>
      <vt:lpstr>SHORT I.P. </vt:lpstr>
      <vt:lpstr>COIMBATORE</vt:lpstr>
      <vt:lpstr>Thanjavur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</dc:creator>
  <cp:lastModifiedBy>PREETI</cp:lastModifiedBy>
  <cp:lastPrinted>2025-08-14T10:21:04Z</cp:lastPrinted>
  <dcterms:created xsi:type="dcterms:W3CDTF">2015-10-06T02:33:12Z</dcterms:created>
  <dcterms:modified xsi:type="dcterms:W3CDTF">2025-11-14T09:33:14Z</dcterms:modified>
</cp:coreProperties>
</file>