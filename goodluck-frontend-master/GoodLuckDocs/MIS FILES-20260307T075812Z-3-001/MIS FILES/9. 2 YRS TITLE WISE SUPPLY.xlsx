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ukta\Sharing folder2\2025-26\KANAV SIR\MIS FILES\"/>
    </mc:Choice>
  </mc:AlternateContent>
  <bookViews>
    <workbookView xWindow="0" yWindow="0" windowWidth="28800" windowHeight="11928" activeTab="4"/>
  </bookViews>
  <sheets>
    <sheet name="SUMMARY G.L &amp; V.P" sheetId="5" r:id="rId1"/>
    <sheet name="SUPPLY G.L" sheetId="2" r:id="rId2"/>
    <sheet name="SUPPLY V.P" sheetId="6" r:id="rId3"/>
    <sheet name="MAIN G.L" sheetId="1" r:id="rId4"/>
    <sheet name="RETURN MAIN G.L" sheetId="3" r:id="rId5"/>
  </sheets>
  <definedNames>
    <definedName name="_xlnm._FilterDatabase" localSheetId="0" hidden="1">'SUMMARY G.L &amp; V.P'!$A$1:$G$27</definedName>
    <definedName name="_xlnm._FilterDatabase" localSheetId="1" hidden="1">'SUPPLY G.L'!$A$1:$F$152</definedName>
  </definedNames>
  <calcPr calcId="162913"/>
</workbook>
</file>

<file path=xl/calcChain.xml><?xml version="1.0" encoding="utf-8"?>
<calcChain xmlns="http://schemas.openxmlformats.org/spreadsheetml/2006/main">
  <c r="G31" i="5" l="1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6" i="5"/>
  <c r="E11" i="6" l="1"/>
  <c r="D11" i="6"/>
  <c r="F11" i="6" s="1"/>
  <c r="F10" i="6"/>
  <c r="F9" i="6"/>
  <c r="F8" i="6"/>
  <c r="F7" i="6"/>
  <c r="F6" i="6"/>
  <c r="F5" i="6"/>
  <c r="F4" i="6"/>
  <c r="F3" i="6"/>
  <c r="F2" i="6"/>
  <c r="G32" i="5"/>
  <c r="F32" i="5"/>
  <c r="E32" i="5"/>
  <c r="G27" i="5" l="1"/>
  <c r="F27" i="5"/>
  <c r="E27" i="5"/>
  <c r="E152" i="2" l="1"/>
  <c r="D152" i="2"/>
  <c r="E146" i="2"/>
  <c r="D146" i="2"/>
  <c r="E138" i="2"/>
  <c r="D138" i="2"/>
  <c r="E126" i="2"/>
  <c r="D126" i="2"/>
  <c r="E115" i="2"/>
  <c r="D115" i="2"/>
  <c r="E106" i="2"/>
  <c r="D106" i="2"/>
  <c r="E97" i="2"/>
  <c r="D97" i="2"/>
  <c r="E88" i="2"/>
  <c r="D88" i="2"/>
  <c r="E84" i="2"/>
  <c r="D84" i="2"/>
  <c r="F84" i="2" s="1"/>
  <c r="E74" i="2"/>
  <c r="D74" i="2"/>
  <c r="E68" i="2"/>
  <c r="D68" i="2"/>
  <c r="F68" i="2" s="1"/>
  <c r="E64" i="2"/>
  <c r="D64" i="2"/>
  <c r="F64" i="2" s="1"/>
  <c r="E59" i="2"/>
  <c r="D59" i="2"/>
  <c r="E55" i="2"/>
  <c r="D55" i="2"/>
  <c r="E51" i="2"/>
  <c r="D51" i="2"/>
  <c r="E47" i="2"/>
  <c r="D47" i="2"/>
  <c r="F47" i="2" s="1"/>
  <c r="E38" i="2"/>
  <c r="D38" i="2"/>
  <c r="E23" i="2"/>
  <c r="D23" i="2"/>
  <c r="F23" i="2" s="1"/>
  <c r="E15" i="2"/>
  <c r="D15" i="2"/>
  <c r="E10" i="2"/>
  <c r="D10" i="2"/>
  <c r="E5" i="2"/>
  <c r="D5" i="2"/>
  <c r="F3" i="2"/>
  <c r="F4" i="2"/>
  <c r="F6" i="2"/>
  <c r="F7" i="2"/>
  <c r="F8" i="2"/>
  <c r="F9" i="2"/>
  <c r="F11" i="2"/>
  <c r="F12" i="2"/>
  <c r="F13" i="2"/>
  <c r="F14" i="2"/>
  <c r="F16" i="2"/>
  <c r="F17" i="2"/>
  <c r="F18" i="2"/>
  <c r="F19" i="2"/>
  <c r="F20" i="2"/>
  <c r="F21" i="2"/>
  <c r="F22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9" i="2"/>
  <c r="F40" i="2"/>
  <c r="F41" i="2"/>
  <c r="F42" i="2"/>
  <c r="F43" i="2"/>
  <c r="F44" i="2"/>
  <c r="F45" i="2"/>
  <c r="F46" i="2"/>
  <c r="F48" i="2"/>
  <c r="F49" i="2"/>
  <c r="F50" i="2"/>
  <c r="F52" i="2"/>
  <c r="F53" i="2"/>
  <c r="F54" i="2"/>
  <c r="F56" i="2"/>
  <c r="F57" i="2"/>
  <c r="F58" i="2"/>
  <c r="F59" i="2"/>
  <c r="F60" i="2"/>
  <c r="F61" i="2"/>
  <c r="F62" i="2"/>
  <c r="F63" i="2"/>
  <c r="F65" i="2"/>
  <c r="F66" i="2"/>
  <c r="F67" i="2"/>
  <c r="F69" i="2"/>
  <c r="F70" i="2"/>
  <c r="F71" i="2"/>
  <c r="F72" i="2"/>
  <c r="F73" i="2"/>
  <c r="F75" i="2"/>
  <c r="F76" i="2"/>
  <c r="F77" i="2"/>
  <c r="F78" i="2"/>
  <c r="F79" i="2"/>
  <c r="F80" i="2"/>
  <c r="F81" i="2"/>
  <c r="F82" i="2"/>
  <c r="F83" i="2"/>
  <c r="F85" i="2"/>
  <c r="F86" i="2"/>
  <c r="F87" i="2"/>
  <c r="F89" i="2"/>
  <c r="F90" i="2"/>
  <c r="F91" i="2"/>
  <c r="F92" i="2"/>
  <c r="F93" i="2"/>
  <c r="F94" i="2"/>
  <c r="F95" i="2"/>
  <c r="F96" i="2"/>
  <c r="F98" i="2"/>
  <c r="F99" i="2"/>
  <c r="F100" i="2"/>
  <c r="F101" i="2"/>
  <c r="F102" i="2"/>
  <c r="F103" i="2"/>
  <c r="F104" i="2"/>
  <c r="F105" i="2"/>
  <c r="F107" i="2"/>
  <c r="F108" i="2"/>
  <c r="F109" i="2"/>
  <c r="F110" i="2"/>
  <c r="F111" i="2"/>
  <c r="F112" i="2"/>
  <c r="F113" i="2"/>
  <c r="F114" i="2"/>
  <c r="F116" i="2"/>
  <c r="F117" i="2"/>
  <c r="F118" i="2"/>
  <c r="F119" i="2"/>
  <c r="F120" i="2"/>
  <c r="F121" i="2"/>
  <c r="F122" i="2"/>
  <c r="F123" i="2"/>
  <c r="F124" i="2"/>
  <c r="F125" i="2"/>
  <c r="F127" i="2"/>
  <c r="F128" i="2"/>
  <c r="F129" i="2"/>
  <c r="F130" i="2"/>
  <c r="F131" i="2"/>
  <c r="F132" i="2"/>
  <c r="F133" i="2"/>
  <c r="F134" i="2"/>
  <c r="F135" i="2"/>
  <c r="F136" i="2"/>
  <c r="F137" i="2"/>
  <c r="F139" i="2"/>
  <c r="F140" i="2"/>
  <c r="F141" i="2"/>
  <c r="F142" i="2"/>
  <c r="F143" i="2"/>
  <c r="F144" i="2"/>
  <c r="F145" i="2"/>
  <c r="F147" i="2"/>
  <c r="F148" i="2"/>
  <c r="F149" i="2"/>
  <c r="F150" i="2"/>
  <c r="F151" i="2"/>
  <c r="F2" i="2"/>
  <c r="F88" i="2" l="1"/>
  <c r="F38" i="2"/>
  <c r="F5" i="2"/>
  <c r="F15" i="2"/>
  <c r="F97" i="2"/>
  <c r="F115" i="2"/>
  <c r="F138" i="2"/>
  <c r="F152" i="2"/>
  <c r="D153" i="2"/>
  <c r="E153" i="2"/>
  <c r="F10" i="2"/>
  <c r="F55" i="2"/>
  <c r="F106" i="2"/>
  <c r="F126" i="2"/>
  <c r="F74" i="2"/>
  <c r="F146" i="2"/>
  <c r="F51" i="2"/>
  <c r="F153" i="2" l="1"/>
</calcChain>
</file>

<file path=xl/sharedStrings.xml><?xml version="1.0" encoding="utf-8"?>
<sst xmlns="http://schemas.openxmlformats.org/spreadsheetml/2006/main" count="974" uniqueCount="430">
  <si>
    <t>BookCode</t>
  </si>
  <si>
    <t>BookName</t>
  </si>
  <si>
    <t>Qty</t>
  </si>
  <si>
    <t>AI6</t>
  </si>
  <si>
    <t>ARTIFICIAL INTELLIGENCE LEVEL-6</t>
  </si>
  <si>
    <t>AI7</t>
  </si>
  <si>
    <t>ARTIFICIAL INTELLIGENCE LEVEL-7</t>
  </si>
  <si>
    <t>AI8</t>
  </si>
  <si>
    <t>ARTIFICIAL INTELLIGENCE LEVEL-8</t>
  </si>
  <si>
    <t>CACL</t>
  </si>
  <si>
    <t>Candy Alphabet-Capital Letters</t>
  </si>
  <si>
    <t>CC1</t>
  </si>
  <si>
    <t>Colour Canvas Art and Craft Book 1</t>
  </si>
  <si>
    <t>CC2</t>
  </si>
  <si>
    <t>Colour Canvas Art and Craft Book 2</t>
  </si>
  <si>
    <t>CC3</t>
  </si>
  <si>
    <t>Colour Canvas Art and Craft Book 3</t>
  </si>
  <si>
    <t>CC4</t>
  </si>
  <si>
    <t>Colour Canvas Art and Craft Book 4</t>
  </si>
  <si>
    <t>CC5</t>
  </si>
  <si>
    <t>Colour Canvas Art and Craft Book 5</t>
  </si>
  <si>
    <t>CCACS</t>
  </si>
  <si>
    <t>Candy Cursive Alphabet Capital &amp; Small Letters</t>
  </si>
  <si>
    <t>CCB</t>
  </si>
  <si>
    <t>Colour Canvas Art and Craft Book B</t>
  </si>
  <si>
    <t>CCC</t>
  </si>
  <si>
    <t>Colour Canvas Art and Craft Book C</t>
  </si>
  <si>
    <t>CELR3</t>
  </si>
  <si>
    <t>Conquer English Literature Reader Part-3</t>
  </si>
  <si>
    <t>CELR4</t>
  </si>
  <si>
    <t>Conquer English Literature Reader Part-4</t>
  </si>
  <si>
    <t>CELR5</t>
  </si>
  <si>
    <t>Conquer English Literature Reader Part-5</t>
  </si>
  <si>
    <t>CELR6</t>
  </si>
  <si>
    <t>Conquer English Literature Reader Part-6</t>
  </si>
  <si>
    <t>CELR7</t>
  </si>
  <si>
    <t>Conquer English Literature Reader Part-7</t>
  </si>
  <si>
    <t>CELR8</t>
  </si>
  <si>
    <t>Conquer English Literature Reader Part-8</t>
  </si>
  <si>
    <t>CEM1</t>
  </si>
  <si>
    <t>Conquer English Course Book Part-1</t>
  </si>
  <si>
    <t>CEM2</t>
  </si>
  <si>
    <t>Conquer English Course Book Part-2</t>
  </si>
  <si>
    <t>CEM3</t>
  </si>
  <si>
    <t>Conquer English Course Book Part-3</t>
  </si>
  <si>
    <t>CEM4</t>
  </si>
  <si>
    <t>Conquer English Course Book Part-4</t>
  </si>
  <si>
    <t>CEM5</t>
  </si>
  <si>
    <t>Conquer English Course Book Part-5</t>
  </si>
  <si>
    <t>CEM6</t>
  </si>
  <si>
    <t>Conquer English Course Book Part-6</t>
  </si>
  <si>
    <t>CEM7</t>
  </si>
  <si>
    <t>Conquer English Course Book Part-7</t>
  </si>
  <si>
    <t>CEM8</t>
  </si>
  <si>
    <t>Conquer English Course Book Part-8</t>
  </si>
  <si>
    <t>CH1</t>
  </si>
  <si>
    <t>Creative Hands Part-1</t>
  </si>
  <si>
    <t>CH2</t>
  </si>
  <si>
    <t>Creative Hands Part-2</t>
  </si>
  <si>
    <t>CH3</t>
  </si>
  <si>
    <t>Creative Hands Part-3</t>
  </si>
  <si>
    <t>CH4</t>
  </si>
  <si>
    <t>Creative Hands Part-4</t>
  </si>
  <si>
    <t>CH5</t>
  </si>
  <si>
    <t>Creative Hands Part-5</t>
  </si>
  <si>
    <t>CH6</t>
  </si>
  <si>
    <t>Creative Hands Part-6</t>
  </si>
  <si>
    <t>CH7</t>
  </si>
  <si>
    <t>Creative Hands Part-7</t>
  </si>
  <si>
    <t>CH8</t>
  </si>
  <si>
    <t>Creative Hands Part-8</t>
  </si>
  <si>
    <t>CN1</t>
  </si>
  <si>
    <t>Candy Numbers 1 To 100</t>
  </si>
  <si>
    <t>CN5</t>
  </si>
  <si>
    <t>Candy Numbers 1 To 50</t>
  </si>
  <si>
    <t>CSM0</t>
  </si>
  <si>
    <t>Chhavi Sulekh Mala Part-0</t>
  </si>
  <si>
    <t>CSM1</t>
  </si>
  <si>
    <t>Chhavi Sulekh Mala Part-1</t>
  </si>
  <si>
    <t>CSM2</t>
  </si>
  <si>
    <t>Chhavi Sulekh Mala Part-2</t>
  </si>
  <si>
    <t>CSM3</t>
  </si>
  <si>
    <t>Chhavi Sulekh Mala Part-3</t>
  </si>
  <si>
    <t>CSM4</t>
  </si>
  <si>
    <t>Chhavi Sulekh Mala Part-4</t>
  </si>
  <si>
    <t>CSM5</t>
  </si>
  <si>
    <t>Chhavi Sulekh Mala Part-5</t>
  </si>
  <si>
    <t>EG6</t>
  </si>
  <si>
    <t>Explorer A Textbook Of Geography Part-6</t>
  </si>
  <si>
    <t>EG7</t>
  </si>
  <si>
    <t>Explorer A Textbook Of Geography Part-7</t>
  </si>
  <si>
    <t>EG8</t>
  </si>
  <si>
    <t>Explorer A Textbook Of Geography Part-8</t>
  </si>
  <si>
    <t>HA6</t>
  </si>
  <si>
    <t>Hindi Assignment Part-6</t>
  </si>
  <si>
    <t>HA7</t>
  </si>
  <si>
    <t>Hindi Assignment Part-7</t>
  </si>
  <si>
    <t>HA8</t>
  </si>
  <si>
    <t>Hindi Assignment Part-8</t>
  </si>
  <si>
    <t>HFB</t>
  </si>
  <si>
    <t>HAPPY FACES (Without Hindi) B :- Environmental Science (EVS), Art and Craft, Number Work, English Handwriting, English Rhymes, Phonios, Literacy</t>
  </si>
  <si>
    <t>HFC</t>
  </si>
  <si>
    <t>HAPPY FACES (Without Hindi) C :- Environmental Science (EVS), Art and Craft, Number Work, English Rhymes, Literacy, Phonios,English Handwriting</t>
  </si>
  <si>
    <t>HHC6</t>
  </si>
  <si>
    <t>Heritage A Textbook Of History &amp; Civics Class-6</t>
  </si>
  <si>
    <t>HHC7</t>
  </si>
  <si>
    <t>Heritage A Textbook Of History &amp; Civics Class-7</t>
  </si>
  <si>
    <t>HHC8</t>
  </si>
  <si>
    <t>Heritage A Textbook Of History &amp; Civics Class 8</t>
  </si>
  <si>
    <t>HHC9</t>
  </si>
  <si>
    <t>Heritage A Textbook Of History &amp; Civics Class 9</t>
  </si>
  <si>
    <t>IBTW6</t>
  </si>
  <si>
    <t>Innovative Biology Text Book Cum Work Book  P-6</t>
  </si>
  <si>
    <t>IBTW7</t>
  </si>
  <si>
    <t>Innovative Biology Text Book Cum Work Book  P-7</t>
  </si>
  <si>
    <t>IBTW8</t>
  </si>
  <si>
    <t>Innovative Biology Text Book Cum Work Book  P-8</t>
  </si>
  <si>
    <t>ICS1</t>
  </si>
  <si>
    <t>Integrated Computer Studies Part-1</t>
  </si>
  <si>
    <t>ICS2</t>
  </si>
  <si>
    <t>Integrated Computer Studies Part-2</t>
  </si>
  <si>
    <t>ICS3</t>
  </si>
  <si>
    <t>Integrated Computer Studies Part-3</t>
  </si>
  <si>
    <t>ICS4</t>
  </si>
  <si>
    <t>Integrated Computer Studies Part-4</t>
  </si>
  <si>
    <t>ICS5</t>
  </si>
  <si>
    <t>Integrated Computer Studies Part-5</t>
  </si>
  <si>
    <t>ICS6</t>
  </si>
  <si>
    <t>Integrated Computer Studies Part-6</t>
  </si>
  <si>
    <t>ICS7</t>
  </si>
  <si>
    <t>Integrated Computer Studies Part-7</t>
  </si>
  <si>
    <t>ICTW6</t>
  </si>
  <si>
    <t>Innovative Chemistry Text Book Cum Work Book  P-6</t>
  </si>
  <si>
    <t>ICTW7</t>
  </si>
  <si>
    <t>Innovative Chemistry Text Book Cum Work Book  P-7</t>
  </si>
  <si>
    <t>ICTW8</t>
  </si>
  <si>
    <t>Innovative Chemistry Text Book Cum Work Book  P-8</t>
  </si>
  <si>
    <t>ICTW9</t>
  </si>
  <si>
    <t>Innovative Chemistry Text Book Cum Work Book P- 9</t>
  </si>
  <si>
    <t>IM11</t>
  </si>
  <si>
    <t>Innovative Mathematics-ICSE Part-1</t>
  </si>
  <si>
    <t>IM22</t>
  </si>
  <si>
    <t>Innovative Mathematics-ICSE Part-2</t>
  </si>
  <si>
    <t>IM33</t>
  </si>
  <si>
    <t>Innovative Mathematics-ICSE Part-3</t>
  </si>
  <si>
    <t>IM44</t>
  </si>
  <si>
    <t>Innovative Mathematics-ICSE Part-4</t>
  </si>
  <si>
    <t>IM55</t>
  </si>
  <si>
    <t>Innovative Mathematics-ICSE Part-5</t>
  </si>
  <si>
    <t>IM66</t>
  </si>
  <si>
    <t>Innovative Mathematics-ICSE Part-6</t>
  </si>
  <si>
    <t>IM77</t>
  </si>
  <si>
    <t>Innovative Mathematics-ICSE Part-7</t>
  </si>
  <si>
    <t>IM88</t>
  </si>
  <si>
    <t>Innovative Mathematics-ICSE Part-8</t>
  </si>
  <si>
    <t>IM99</t>
  </si>
  <si>
    <t>Innovative Mathematics-ICSE Part-9</t>
  </si>
  <si>
    <t>IMH1</t>
  </si>
  <si>
    <t>Icse Question Bank Hindi-X</t>
  </si>
  <si>
    <t>IPTW6</t>
  </si>
  <si>
    <t>Innovative Physics  Text Book Cum Work Book P-6</t>
  </si>
  <si>
    <t>IPTW7</t>
  </si>
  <si>
    <t>Innovative Physics  Text Book Cum Work Book P-7</t>
  </si>
  <si>
    <t>IPTW8</t>
  </si>
  <si>
    <t>Innovative Physics  Text Book Cum Work Book  P-8</t>
  </si>
  <si>
    <t>IQB1</t>
  </si>
  <si>
    <t>Icse Question Bank Biology-X</t>
  </si>
  <si>
    <t>IQC1</t>
  </si>
  <si>
    <t>Icse Question Bank Chemistry-X</t>
  </si>
  <si>
    <t>IQCO</t>
  </si>
  <si>
    <t>Icse Question Bank Computer Applications -X</t>
  </si>
  <si>
    <t>IQG1</t>
  </si>
  <si>
    <t>Icse Question Bank In Geography-X</t>
  </si>
  <si>
    <t>IQH1</t>
  </si>
  <si>
    <t>Icse Question Bank History &amp; Civics-X</t>
  </si>
  <si>
    <t>IQL1</t>
  </si>
  <si>
    <t>Icse Question Bank Literature In English -X</t>
  </si>
  <si>
    <t>IQLL1</t>
  </si>
  <si>
    <t>Icse Question Bank English Language-X</t>
  </si>
  <si>
    <t>IQM1</t>
  </si>
  <si>
    <t>Icse Question Bank Mathematics-X</t>
  </si>
  <si>
    <t>IQP1</t>
  </si>
  <si>
    <t>Icse Question Bank Physics-X</t>
  </si>
  <si>
    <t>KTW3</t>
  </si>
  <si>
    <t>Kiran Textbook-Cum-Workbook Part-3</t>
  </si>
  <si>
    <t>KTW4</t>
  </si>
  <si>
    <t>Kiran Textbook-Cum-Workbook Part-4</t>
  </si>
  <si>
    <t>KTWB0</t>
  </si>
  <si>
    <t>Kavya Textbook-Cum-Workbook Part-0</t>
  </si>
  <si>
    <t>KTWB1</t>
  </si>
  <si>
    <t>Kavya Textbook-Cum-Workbook Part-1</t>
  </si>
  <si>
    <t>KTWB2</t>
  </si>
  <si>
    <t>Kavya Textbook-Cum-Workbook Part-2</t>
  </si>
  <si>
    <t>KTWB3</t>
  </si>
  <si>
    <t>Kavya Textbook-Cum-Workbook Part-3</t>
  </si>
  <si>
    <t>KTWB4</t>
  </si>
  <si>
    <t>Kavya Textbook-Cum-Workbook Part-4</t>
  </si>
  <si>
    <t>KTWB5</t>
  </si>
  <si>
    <t>Kavya Textbook-Cum-Workbook Part-5</t>
  </si>
  <si>
    <t>KTWB6</t>
  </si>
  <si>
    <t>Kavya Textbook-Cum-Workbook Part-6</t>
  </si>
  <si>
    <t>KTWB7</t>
  </si>
  <si>
    <t>Kavya Textbook-Cum-Workbook Part-7</t>
  </si>
  <si>
    <t>KTWB8</t>
  </si>
  <si>
    <t>Kavya Textbook-Cum-Workbook Part-8</t>
  </si>
  <si>
    <t>MA1</t>
  </si>
  <si>
    <t>Mathematics Assignment Part-1</t>
  </si>
  <si>
    <t>MA2</t>
  </si>
  <si>
    <t>Mathematics Assignment Part-2</t>
  </si>
  <si>
    <t>MA3</t>
  </si>
  <si>
    <t>Mathematics Assignment Part-3</t>
  </si>
  <si>
    <t>MA4</t>
  </si>
  <si>
    <t>Mathematics Assignment Part-4</t>
  </si>
  <si>
    <t>MA5</t>
  </si>
  <si>
    <t>Mathematics Assignment Part-5</t>
  </si>
  <si>
    <t>MA6</t>
  </si>
  <si>
    <t>Mathematics Assignment Part-6</t>
  </si>
  <si>
    <t>MA7</t>
  </si>
  <si>
    <t>Mathematics Assignment Part-7</t>
  </si>
  <si>
    <t>MA8</t>
  </si>
  <si>
    <t>Mathematics Assignment Part-8</t>
  </si>
  <si>
    <t>MPGH66</t>
  </si>
  <si>
    <t>Map Practice Geography &amp; History Part-6</t>
  </si>
  <si>
    <t>MPGH77</t>
  </si>
  <si>
    <t>Map Practice Geography &amp; History Part-7</t>
  </si>
  <si>
    <t>MPGH88</t>
  </si>
  <si>
    <t>Map Practice Geography &amp; History Part-8</t>
  </si>
  <si>
    <t>MST1</t>
  </si>
  <si>
    <t>Modern Science and Technology Part-1</t>
  </si>
  <si>
    <t>MST2</t>
  </si>
  <si>
    <t>Modern Science and Technology Part-2</t>
  </si>
  <si>
    <t>MST3</t>
  </si>
  <si>
    <t>Modern Science and Technology Part-3</t>
  </si>
  <si>
    <t>MST4</t>
  </si>
  <si>
    <t>Modern Science and Technology Part-4</t>
  </si>
  <si>
    <t>MST5</t>
  </si>
  <si>
    <t>Modern Science and Technology Part-5</t>
  </si>
  <si>
    <t>MST6</t>
  </si>
  <si>
    <t>Modern Science and Technology Part-6</t>
  </si>
  <si>
    <t>MST7</t>
  </si>
  <si>
    <t>Modern Science and Technology Part-7</t>
  </si>
  <si>
    <t>MST8</t>
  </si>
  <si>
    <t>Modern Science and Technology Part-8</t>
  </si>
  <si>
    <t>NKW1</t>
  </si>
  <si>
    <t>Nai Kiran (Textbook-cum-Workbook) Part-1</t>
  </si>
  <si>
    <t>NKW2</t>
  </si>
  <si>
    <t>Nai Kiran (Textbook-cum-Workbook) Part-2</t>
  </si>
  <si>
    <t>NKW3</t>
  </si>
  <si>
    <t>Nai Kiran (Textbook-cum-Workbook) Part-3</t>
  </si>
  <si>
    <t>NKW4</t>
  </si>
  <si>
    <t>Nai Kiran (Textbook-cum-Workbook) Part-4</t>
  </si>
  <si>
    <t>NKW5</t>
  </si>
  <si>
    <t>Nai Kiran (Textbook-cum-Workbook) Part-5</t>
  </si>
  <si>
    <t>NKW6</t>
  </si>
  <si>
    <t>Nai Kiran (Textbook-cum-Workbook) Part-6</t>
  </si>
  <si>
    <t>NKW7</t>
  </si>
  <si>
    <t>Nai Kiran (Textbook-cum-Workbook) Part-7</t>
  </si>
  <si>
    <t>NKW8</t>
  </si>
  <si>
    <t>Nai Kiran (Textbook-cum-Workbook) Part-8</t>
  </si>
  <si>
    <t>PS11</t>
  </si>
  <si>
    <t>Patterns Class 1 Semester 1</t>
  </si>
  <si>
    <t>PS12</t>
  </si>
  <si>
    <t>Patterns Class 1 Semester 2</t>
  </si>
  <si>
    <t>PS21</t>
  </si>
  <si>
    <t>Patterns Class 2 Semester 1</t>
  </si>
  <si>
    <t>PS22</t>
  </si>
  <si>
    <t>Patterns Class 2 Semester 2</t>
  </si>
  <si>
    <t>PS31</t>
  </si>
  <si>
    <t>Patterns Class 3 Semester 1</t>
  </si>
  <si>
    <t>PS32</t>
  </si>
  <si>
    <t>Patterns Class 3 Semester 2</t>
  </si>
  <si>
    <t>PS41</t>
  </si>
  <si>
    <t>Patterns Class 4 Semester 1</t>
  </si>
  <si>
    <t>PS42</t>
  </si>
  <si>
    <t>Patterns Class 4 Semester 2</t>
  </si>
  <si>
    <t>PS51</t>
  </si>
  <si>
    <t>Patterns Class 5 Semester 1</t>
  </si>
  <si>
    <t>PS52</t>
  </si>
  <si>
    <t>Patterns Class 5 Semester 2</t>
  </si>
  <si>
    <t>SECB1</t>
  </si>
  <si>
    <t>Smart English Course Book Part-1</t>
  </si>
  <si>
    <t>SECB2</t>
  </si>
  <si>
    <t>Smart English Course Book Part-2</t>
  </si>
  <si>
    <t>SECB3</t>
  </si>
  <si>
    <t>Smart English Course Book Part-3</t>
  </si>
  <si>
    <t>SECB4</t>
  </si>
  <si>
    <t>Smart English Course Book Part-4</t>
  </si>
  <si>
    <t>SECB5</t>
  </si>
  <si>
    <t>Smart English Course Book Part-5</t>
  </si>
  <si>
    <t>SECB6</t>
  </si>
  <si>
    <t>Smart English Course Book Part-6</t>
  </si>
  <si>
    <t>SECB7</t>
  </si>
  <si>
    <t>Smart English Course Book Part-7</t>
  </si>
  <si>
    <t>SECB8</t>
  </si>
  <si>
    <t>Smart English Course Book Part-8</t>
  </si>
  <si>
    <t>SEWB6</t>
  </si>
  <si>
    <t>Smart English Work Book Part-6</t>
  </si>
  <si>
    <t>SEWB7</t>
  </si>
  <si>
    <t>Smart English Work Book Part-7</t>
  </si>
  <si>
    <t>SEWB8</t>
  </si>
  <si>
    <t>Smart English Work Book Part-8</t>
  </si>
  <si>
    <t>SW1</t>
  </si>
  <si>
    <t>Speak &amp; Write Part-1</t>
  </si>
  <si>
    <t>SW2</t>
  </si>
  <si>
    <t>Speak &amp; Write Part-2</t>
  </si>
  <si>
    <t>SW3</t>
  </si>
  <si>
    <t>Speak &amp; Write Part-3</t>
  </si>
  <si>
    <t>SW4</t>
  </si>
  <si>
    <t>Speak &amp; Write Part-4</t>
  </si>
  <si>
    <t>SW5</t>
  </si>
  <si>
    <t>Speak &amp; Write Part-5</t>
  </si>
  <si>
    <t>SW6</t>
  </si>
  <si>
    <t>SPEAK &amp; WRITE PART-6</t>
  </si>
  <si>
    <t>SW7</t>
  </si>
  <si>
    <t>SPEAK &amp; WRITE PART-7</t>
  </si>
  <si>
    <t>TCB11</t>
  </si>
  <si>
    <t>The Crafty Bug Book-1.</t>
  </si>
  <si>
    <t>TCB22</t>
  </si>
  <si>
    <t>The Crafty Bug Book-2.</t>
  </si>
  <si>
    <t>TCB33</t>
  </si>
  <si>
    <t>The Crafty Bug Book-3.</t>
  </si>
  <si>
    <t>TCB44</t>
  </si>
  <si>
    <t>The Crafty Bug Book-4.</t>
  </si>
  <si>
    <t>TCB55</t>
  </si>
  <si>
    <t>The Crafty Bug Book-5.</t>
  </si>
  <si>
    <t>TCB66</t>
  </si>
  <si>
    <t>The Crafty Bug Book-6.</t>
  </si>
  <si>
    <t>TCB77</t>
  </si>
  <si>
    <t>The Crafty Bug Book-7.</t>
  </si>
  <si>
    <t>TCB88</t>
  </si>
  <si>
    <t>The Crafty Bug Book-8.</t>
  </si>
  <si>
    <t>TCBAA</t>
  </si>
  <si>
    <t>The Crafty Bug Book-A.</t>
  </si>
  <si>
    <t>TCBBB</t>
  </si>
  <si>
    <t>The Crafty Bug Book-B.</t>
  </si>
  <si>
    <t xml:space="preserve">PART </t>
  </si>
  <si>
    <t>SUPPLY 
Qty</t>
  </si>
  <si>
    <t xml:space="preserve">RETURN 
QTY </t>
  </si>
  <si>
    <t xml:space="preserve">NET 
QTY </t>
  </si>
  <si>
    <t>ReturnQty</t>
  </si>
  <si>
    <t xml:space="preserve">ARTIFICIAL INTELLIGENCE </t>
  </si>
  <si>
    <t>6-8</t>
  </si>
  <si>
    <t>Candy Sreies</t>
  </si>
  <si>
    <t xml:space="preserve">Chhavi Sulekh Mala </t>
  </si>
  <si>
    <t>0-3</t>
  </si>
  <si>
    <t xml:space="preserve">Colour Canvas Art and Craft Book </t>
  </si>
  <si>
    <t>B-5</t>
  </si>
  <si>
    <t>Conquer English Liter , course book</t>
  </si>
  <si>
    <t>1-8</t>
  </si>
  <si>
    <t xml:space="preserve">Creative Hands </t>
  </si>
  <si>
    <t xml:space="preserve">Explorer A Textbook Of Geography </t>
  </si>
  <si>
    <t xml:space="preserve">Hindi Assignment </t>
  </si>
  <si>
    <t xml:space="preserve">Innovative Biology Text Book Cum Work Book </t>
  </si>
  <si>
    <t>Innovative Chemistry Text Book Cum Work Book</t>
  </si>
  <si>
    <t>6-9</t>
  </si>
  <si>
    <t>Innovative Physics  Text Book Cum Work Book</t>
  </si>
  <si>
    <t>Integrated Computer Studies</t>
  </si>
  <si>
    <t>1-5</t>
  </si>
  <si>
    <t xml:space="preserve">Kavya Textbook-Cum-Workbook </t>
  </si>
  <si>
    <t>0-8</t>
  </si>
  <si>
    <t xml:space="preserve">Map Practice Geography &amp; History </t>
  </si>
  <si>
    <t xml:space="preserve">Mathematics Assignment </t>
  </si>
  <si>
    <t xml:space="preserve">Modern Science and Technology </t>
  </si>
  <si>
    <t xml:space="preserve">Nai Kiran (Textbook-cum-Workbook) </t>
  </si>
  <si>
    <t>Patterns Semester 1 &amp; 2</t>
  </si>
  <si>
    <t>Smart English Work, course book</t>
  </si>
  <si>
    <t xml:space="preserve">SPEAK &amp; WRITE </t>
  </si>
  <si>
    <t>1-7</t>
  </si>
  <si>
    <t>The Crafty Bug Book</t>
  </si>
  <si>
    <t>A-B,1-2</t>
  </si>
  <si>
    <t>GOOD LUCK PUBLISHERS LIMITED</t>
  </si>
  <si>
    <t>Supply from 01-09-2023 TO 31-08-2024  &amp; Return from 01-03-2024 To 28-02-2025(23-24)</t>
  </si>
  <si>
    <t>S.N</t>
  </si>
  <si>
    <t>BOOK NAME</t>
  </si>
  <si>
    <t>PART</t>
  </si>
  <si>
    <t xml:space="preserve">SUPPLY
QTY </t>
  </si>
  <si>
    <t>RETURN 
QTY</t>
  </si>
  <si>
    <t xml:space="preserve">NET
SUPPLY </t>
  </si>
  <si>
    <t>TOTAL SUPPLY QTY</t>
  </si>
  <si>
    <t>Chandan Hindi Text Book Part-8</t>
  </si>
  <si>
    <t xml:space="preserve">VIDYARTHI PRAKASHAN LIMITED </t>
  </si>
  <si>
    <t xml:space="preserve">RETURN
QTY </t>
  </si>
  <si>
    <t>CHR0</t>
  </si>
  <si>
    <t>Chandan Hindi Text Book Part-0</t>
  </si>
  <si>
    <t>CHR1</t>
  </si>
  <si>
    <t>Chandan Hindi Text Book Part-1</t>
  </si>
  <si>
    <t>CHR2</t>
  </si>
  <si>
    <t>Chandan Hindi Text Book Part-2</t>
  </si>
  <si>
    <t>CHR3</t>
  </si>
  <si>
    <t>Chandan Hindi Text Book Part-3</t>
  </si>
  <si>
    <t>CHR4</t>
  </si>
  <si>
    <t>Chandan Hindi Text Book Part-4</t>
  </si>
  <si>
    <t>CHR5</t>
  </si>
  <si>
    <t>Chandan Hindi Text Book Part-5</t>
  </si>
  <si>
    <t>CHR6</t>
  </si>
  <si>
    <t>Chandan Hindi Text Book Part-6</t>
  </si>
  <si>
    <t>CHR7</t>
  </si>
  <si>
    <t>Chandan Hindi Text Book Part-7</t>
  </si>
  <si>
    <t>CHR8</t>
  </si>
  <si>
    <t>SUBJECT</t>
  </si>
  <si>
    <t>HINDI</t>
  </si>
  <si>
    <t>ART &amp; CRAFT</t>
  </si>
  <si>
    <t>WRITING</t>
  </si>
  <si>
    <t>ENGLISH</t>
  </si>
  <si>
    <t xml:space="preserve">SEMESTER </t>
  </si>
  <si>
    <t>SCIENCE</t>
  </si>
  <si>
    <t>COMPUTER SCIENCE</t>
  </si>
  <si>
    <t>MATHEMATICS</t>
  </si>
  <si>
    <t>SOCIAL SCIENCE</t>
  </si>
  <si>
    <t>TOTAL</t>
  </si>
  <si>
    <t xml:space="preserve">KAVYA TEXTBOOK-CUM-WORKBOOK </t>
  </si>
  <si>
    <t xml:space="preserve">NAI KIRAN (TEXTBOOK-CUM-WORKBOOK) </t>
  </si>
  <si>
    <t xml:space="preserve">CREATIVE HANDS </t>
  </si>
  <si>
    <t>CONQUER ENGLISH LITER , COURSE BOOK</t>
  </si>
  <si>
    <t>SMART ENGLISH WORK, COURSE BOOK</t>
  </si>
  <si>
    <t>PATTERNS SEMESTER 1 &amp; 2</t>
  </si>
  <si>
    <t xml:space="preserve">INNOVATIVE BIOLOGY TEXT BOOK CUM WORK BOOK </t>
  </si>
  <si>
    <t>INTEGRATED COMPUTER STUDIES</t>
  </si>
  <si>
    <t xml:space="preserve">MODERN SCIENCE AND TECHNOLOGY </t>
  </si>
  <si>
    <t>INNOVATIVE CHEMISTRY TEXT BOOK CUM WORK BOOK</t>
  </si>
  <si>
    <t xml:space="preserve">MATHEMATICS ASSIGNMENT </t>
  </si>
  <si>
    <t xml:space="preserve">HINDI ASSIGNMENT </t>
  </si>
  <si>
    <t xml:space="preserve">COLOUR CANVAS ART AND CRAFT BOOK </t>
  </si>
  <si>
    <t>INNOVATIVE PHYSICS  TEXT BOOK CUM WORK BOOK</t>
  </si>
  <si>
    <t xml:space="preserve">EXPLORER A TEXTBOOK OF GEOGRAPHY </t>
  </si>
  <si>
    <t xml:space="preserve">CHHAVI SULEKH MALA </t>
  </si>
  <si>
    <t>THE CRAFTY BUG BOOK</t>
  </si>
  <si>
    <t xml:space="preserve">MAP PRACTICE GEOGRAPHY &amp; HISTORY </t>
  </si>
  <si>
    <t>CANDY SREIES</t>
  </si>
  <si>
    <t>MR. ABC (STATE)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</si>
</sst>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libri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sz val="16"/>
      <name val="Calibri"/>
      <family val="2"/>
    </font>
    <font>
      <b/>
      <sz val="18"/>
      <name val="Calibri"/>
      <family val="2"/>
    </font>
    <font>
      <sz val="14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B5AD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1DBE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8">
    <xf numFmtId="0" fontId="0" fillId="0" borderId="0" xfId="0" applyNumberFormat="1" applyFont="1"/>
    <xf numFmtId="0" fontId="1" fillId="2" borderId="0" xfId="0" applyNumberFormat="1" applyFont="1" applyFill="1"/>
    <xf numFmtId="0" fontId="0" fillId="0" borderId="1" xfId="0" applyNumberFormat="1" applyFont="1" applyBorder="1"/>
    <xf numFmtId="0" fontId="3" fillId="0" borderId="1" xfId="0" applyNumberFormat="1" applyFont="1" applyBorder="1"/>
    <xf numFmtId="0" fontId="2" fillId="2" borderId="0" xfId="0" applyNumberFormat="1" applyFont="1" applyFill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3" fillId="0" borderId="3" xfId="0" applyNumberFormat="1" applyFont="1" applyBorder="1"/>
    <xf numFmtId="0" fontId="2" fillId="2" borderId="2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Border="1" applyAlignment="1">
      <alignment horizontal="center" vertical="center"/>
    </xf>
    <xf numFmtId="0" fontId="3" fillId="0" borderId="5" xfId="0" applyNumberFormat="1" applyFont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3" fillId="0" borderId="0" xfId="0" applyNumberFormat="1" applyFont="1"/>
    <xf numFmtId="0" fontId="3" fillId="0" borderId="0" xfId="0" applyNumberFormat="1" applyFont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5" xfId="0" applyNumberFormat="1" applyFont="1" applyFill="1" applyBorder="1" applyAlignment="1">
      <alignment horizontal="center" vertical="center"/>
    </xf>
    <xf numFmtId="0" fontId="4" fillId="4" borderId="4" xfId="0" applyNumberFormat="1" applyFont="1" applyFill="1" applyBorder="1" applyAlignment="1">
      <alignment horizontal="center" vertical="center"/>
    </xf>
    <xf numFmtId="0" fontId="4" fillId="4" borderId="6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 wrapText="1"/>
    </xf>
    <xf numFmtId="0" fontId="0" fillId="0" borderId="3" xfId="0" applyNumberFormat="1" applyFont="1" applyBorder="1" applyAlignment="1">
      <alignment horizontal="center" vertical="center"/>
    </xf>
    <xf numFmtId="0" fontId="0" fillId="0" borderId="3" xfId="0" applyNumberFormat="1" applyFont="1" applyBorder="1" applyAlignment="1">
      <alignment horizontal="left" vertical="center"/>
    </xf>
    <xf numFmtId="49" fontId="0" fillId="0" borderId="3" xfId="0" applyNumberFormat="1" applyFont="1" applyBorder="1" applyAlignment="1">
      <alignment horizontal="center" vertical="center"/>
    </xf>
    <xf numFmtId="0" fontId="0" fillId="0" borderId="4" xfId="0" applyNumberFormat="1" applyFont="1" applyBorder="1" applyAlignment="1">
      <alignment horizontal="center" vertical="center"/>
    </xf>
    <xf numFmtId="0" fontId="0" fillId="0" borderId="6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left" vertical="center"/>
    </xf>
    <xf numFmtId="49" fontId="0" fillId="0" borderId="1" xfId="0" applyNumberFormat="1" applyFont="1" applyBorder="1" applyAlignment="1">
      <alignment horizontal="center" vertical="center"/>
    </xf>
    <xf numFmtId="0" fontId="0" fillId="0" borderId="5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/>
    </xf>
    <xf numFmtId="0" fontId="0" fillId="0" borderId="12" xfId="0" applyNumberFormat="1" applyFont="1" applyBorder="1" applyAlignment="1">
      <alignment horizontal="center" vertical="center"/>
    </xf>
    <xf numFmtId="0" fontId="0" fillId="0" borderId="12" xfId="0" applyNumberFormat="1" applyFont="1" applyBorder="1" applyAlignment="1">
      <alignment horizontal="left" vertical="center"/>
    </xf>
    <xf numFmtId="49" fontId="0" fillId="0" borderId="12" xfId="0" applyNumberFormat="1" applyFont="1" applyBorder="1" applyAlignment="1">
      <alignment horizontal="center" vertical="center"/>
    </xf>
    <xf numFmtId="0" fontId="0" fillId="0" borderId="13" xfId="0" applyNumberFormat="1" applyFont="1" applyBorder="1" applyAlignment="1">
      <alignment horizontal="center" vertical="center"/>
    </xf>
    <xf numFmtId="0" fontId="5" fillId="4" borderId="6" xfId="0" applyNumberFormat="1" applyFont="1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 wrapText="1"/>
    </xf>
    <xf numFmtId="0" fontId="7" fillId="0" borderId="6" xfId="0" applyNumberFormat="1" applyFont="1" applyFill="1" applyBorder="1" applyAlignment="1">
      <alignment horizontal="center" vertical="center"/>
    </xf>
    <xf numFmtId="0" fontId="7" fillId="0" borderId="6" xfId="0" applyNumberFormat="1" applyFont="1" applyFill="1" applyBorder="1" applyAlignment="1">
      <alignment horizontal="left" vertical="center"/>
    </xf>
    <xf numFmtId="49" fontId="7" fillId="0" borderId="6" xfId="0" applyNumberFormat="1" applyFont="1" applyFill="1" applyBorder="1" applyAlignment="1">
      <alignment horizontal="center" vertical="center"/>
    </xf>
    <xf numFmtId="0" fontId="5" fillId="0" borderId="0" xfId="0" applyNumberFormat="1" applyFont="1"/>
    <xf numFmtId="0" fontId="7" fillId="3" borderId="11" xfId="0" applyNumberFormat="1" applyFont="1" applyFill="1" applyBorder="1" applyAlignment="1">
      <alignment horizontal="center" vertical="center"/>
    </xf>
    <xf numFmtId="0" fontId="5" fillId="0" borderId="0" xfId="0" applyNumberFormat="1" applyFont="1" applyFill="1"/>
    <xf numFmtId="0" fontId="5" fillId="0" borderId="0" xfId="0" applyNumberFormat="1" applyFont="1" applyFill="1" applyAlignment="1">
      <alignment horizontal="center" vertical="center"/>
    </xf>
    <xf numFmtId="0" fontId="7" fillId="5" borderId="0" xfId="0" applyNumberFormat="1" applyFont="1" applyFill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7" fillId="5" borderId="8" xfId="0" applyNumberFormat="1" applyFont="1" applyFill="1" applyBorder="1" applyAlignment="1">
      <alignment horizontal="center" vertical="center"/>
    </xf>
    <xf numFmtId="0" fontId="7" fillId="5" borderId="9" xfId="0" applyNumberFormat="1" applyFont="1" applyFill="1" applyBorder="1" applyAlignment="1">
      <alignment horizontal="center" vertical="center"/>
    </xf>
    <xf numFmtId="0" fontId="7" fillId="5" borderId="10" xfId="0" applyNumberFormat="1" applyFont="1" applyFill="1" applyBorder="1" applyAlignment="1">
      <alignment horizontal="center" vertical="center"/>
    </xf>
    <xf numFmtId="0" fontId="8" fillId="4" borderId="8" xfId="0" applyNumberFormat="1" applyFont="1" applyFill="1" applyBorder="1" applyAlignment="1">
      <alignment horizontal="center" vertical="center"/>
    </xf>
    <xf numFmtId="0" fontId="8" fillId="4" borderId="9" xfId="0" applyNumberFormat="1" applyFont="1" applyFill="1" applyBorder="1" applyAlignment="1">
      <alignment horizontal="center" vertical="center"/>
    </xf>
    <xf numFmtId="0" fontId="8" fillId="4" borderId="10" xfId="0" applyNumberFormat="1" applyFont="1" applyFill="1" applyBorder="1" applyAlignment="1">
      <alignment horizontal="center" vertical="center"/>
    </xf>
    <xf numFmtId="0" fontId="5" fillId="0" borderId="8" xfId="0" applyNumberFormat="1" applyFont="1" applyBorder="1" applyAlignment="1">
      <alignment horizontal="center" vertical="center"/>
    </xf>
    <xf numFmtId="0" fontId="5" fillId="0" borderId="9" xfId="0" applyNumberFormat="1" applyFont="1" applyBorder="1" applyAlignment="1">
      <alignment horizontal="center" vertical="center"/>
    </xf>
    <xf numFmtId="0" fontId="5" fillId="0" borderId="1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I30" sqref="I30"/>
    </sheetView>
  </sheetViews>
  <sheetFormatPr defaultColWidth="8.88671875" defaultRowHeight="18"/>
  <cols>
    <col min="1" max="1" width="5.88671875" style="55" bestFit="1" customWidth="1"/>
    <col min="2" max="2" width="69.6640625" style="55" bestFit="1" customWidth="1"/>
    <col min="3" max="3" width="30.33203125" style="56" bestFit="1" customWidth="1"/>
    <col min="4" max="4" width="11.33203125" style="55" bestFit="1" customWidth="1"/>
    <col min="5" max="5" width="13.109375" style="55" bestFit="1" customWidth="1"/>
    <col min="6" max="6" width="12.6640625" style="55" bestFit="1" customWidth="1"/>
    <col min="7" max="7" width="12" style="55" bestFit="1" customWidth="1"/>
    <col min="8" max="16384" width="8.88671875" style="53"/>
  </cols>
  <sheetData>
    <row r="1" spans="1:7" s="45" customFormat="1" ht="25.5" customHeight="1" thickBot="1">
      <c r="A1" s="59" t="s">
        <v>370</v>
      </c>
      <c r="B1" s="60"/>
      <c r="C1" s="60"/>
      <c r="D1" s="60"/>
      <c r="E1" s="60"/>
      <c r="F1" s="60"/>
      <c r="G1" s="61"/>
    </row>
    <row r="2" spans="1:7" s="45" customFormat="1" ht="25.5" customHeight="1" thickBot="1">
      <c r="A2" s="59" t="s">
        <v>371</v>
      </c>
      <c r="B2" s="60"/>
      <c r="C2" s="60"/>
      <c r="D2" s="60"/>
      <c r="E2" s="60"/>
      <c r="F2" s="60"/>
      <c r="G2" s="61"/>
    </row>
    <row r="3" spans="1:7" s="45" customFormat="1" ht="25.5" customHeight="1" thickBot="1">
      <c r="A3" s="62" t="s">
        <v>429</v>
      </c>
      <c r="B3" s="63"/>
      <c r="C3" s="63"/>
      <c r="D3" s="63"/>
      <c r="E3" s="63"/>
      <c r="F3" s="63"/>
      <c r="G3" s="64"/>
    </row>
    <row r="4" spans="1:7" s="45" customFormat="1" ht="9.6" customHeight="1" thickBot="1">
      <c r="A4" s="65"/>
      <c r="B4" s="66"/>
      <c r="C4" s="66"/>
      <c r="D4" s="66"/>
      <c r="E4" s="66"/>
      <c r="F4" s="66"/>
      <c r="G4" s="67"/>
    </row>
    <row r="5" spans="1:7" s="45" customFormat="1" ht="36" customHeight="1" thickBot="1">
      <c r="A5" s="46" t="s">
        <v>372</v>
      </c>
      <c r="B5" s="46" t="s">
        <v>373</v>
      </c>
      <c r="C5" s="46" t="s">
        <v>399</v>
      </c>
      <c r="D5" s="47" t="s">
        <v>374</v>
      </c>
      <c r="E5" s="48" t="s">
        <v>375</v>
      </c>
      <c r="F5" s="49" t="s">
        <v>376</v>
      </c>
      <c r="G5" s="49" t="s">
        <v>377</v>
      </c>
    </row>
    <row r="6" spans="1:7" ht="30" customHeight="1">
      <c r="A6" s="50">
        <v>1</v>
      </c>
      <c r="B6" s="51" t="s">
        <v>410</v>
      </c>
      <c r="C6" s="50" t="s">
        <v>400</v>
      </c>
      <c r="D6" s="52" t="s">
        <v>359</v>
      </c>
      <c r="E6" s="50">
        <v>430</v>
      </c>
      <c r="F6" s="50">
        <v>236</v>
      </c>
      <c r="G6" s="50">
        <f>E6-F6</f>
        <v>194</v>
      </c>
    </row>
    <row r="7" spans="1:7" ht="30" customHeight="1">
      <c r="A7" s="50">
        <v>2</v>
      </c>
      <c r="B7" s="51" t="s">
        <v>411</v>
      </c>
      <c r="C7" s="50" t="s">
        <v>400</v>
      </c>
      <c r="D7" s="52" t="s">
        <v>348</v>
      </c>
      <c r="E7" s="50">
        <v>66</v>
      </c>
      <c r="F7" s="50">
        <v>44</v>
      </c>
      <c r="G7" s="50">
        <f t="shared" ref="G7:G26" si="0">E7-F7</f>
        <v>22</v>
      </c>
    </row>
    <row r="8" spans="1:7" ht="30" customHeight="1">
      <c r="A8" s="50">
        <v>3</v>
      </c>
      <c r="B8" s="51" t="s">
        <v>412</v>
      </c>
      <c r="C8" s="50" t="s">
        <v>401</v>
      </c>
      <c r="D8" s="52" t="s">
        <v>348</v>
      </c>
      <c r="E8" s="50">
        <v>12</v>
      </c>
      <c r="F8" s="50">
        <v>5</v>
      </c>
      <c r="G8" s="50">
        <f t="shared" si="0"/>
        <v>7</v>
      </c>
    </row>
    <row r="9" spans="1:7" ht="30" customHeight="1">
      <c r="A9" s="50">
        <v>4</v>
      </c>
      <c r="B9" s="51" t="s">
        <v>366</v>
      </c>
      <c r="C9" s="50" t="s">
        <v>402</v>
      </c>
      <c r="D9" s="52" t="s">
        <v>367</v>
      </c>
      <c r="E9" s="50">
        <v>536</v>
      </c>
      <c r="F9" s="50">
        <v>202</v>
      </c>
      <c r="G9" s="50">
        <f t="shared" si="0"/>
        <v>334</v>
      </c>
    </row>
    <row r="10" spans="1:7" ht="30" customHeight="1">
      <c r="A10" s="50">
        <v>5</v>
      </c>
      <c r="B10" s="51" t="s">
        <v>413</v>
      </c>
      <c r="C10" s="50" t="s">
        <v>403</v>
      </c>
      <c r="D10" s="52" t="s">
        <v>348</v>
      </c>
      <c r="E10" s="50">
        <v>89</v>
      </c>
      <c r="F10" s="50">
        <v>0</v>
      </c>
      <c r="G10" s="50">
        <f t="shared" si="0"/>
        <v>89</v>
      </c>
    </row>
    <row r="11" spans="1:7" ht="30" customHeight="1">
      <c r="A11" s="50">
        <v>6</v>
      </c>
      <c r="B11" s="51" t="s">
        <v>414</v>
      </c>
      <c r="C11" s="50" t="s">
        <v>403</v>
      </c>
      <c r="D11" s="52" t="s">
        <v>348</v>
      </c>
      <c r="E11" s="50">
        <v>66</v>
      </c>
      <c r="F11" s="50">
        <v>53</v>
      </c>
      <c r="G11" s="50">
        <f t="shared" si="0"/>
        <v>13</v>
      </c>
    </row>
    <row r="12" spans="1:7" ht="30" customHeight="1">
      <c r="A12" s="50">
        <v>7</v>
      </c>
      <c r="B12" s="51" t="s">
        <v>415</v>
      </c>
      <c r="C12" s="50" t="s">
        <v>404</v>
      </c>
      <c r="D12" s="52" t="s">
        <v>357</v>
      </c>
      <c r="E12" s="50">
        <v>147</v>
      </c>
      <c r="F12" s="50">
        <v>100</v>
      </c>
      <c r="G12" s="50">
        <f t="shared" si="0"/>
        <v>47</v>
      </c>
    </row>
    <row r="13" spans="1:7" ht="30" customHeight="1">
      <c r="A13" s="50">
        <v>8</v>
      </c>
      <c r="B13" s="51" t="s">
        <v>416</v>
      </c>
      <c r="C13" s="50" t="s">
        <v>405</v>
      </c>
      <c r="D13" s="52" t="s">
        <v>341</v>
      </c>
      <c r="E13" s="50">
        <v>22</v>
      </c>
      <c r="F13" s="50">
        <v>1</v>
      </c>
      <c r="G13" s="50">
        <f t="shared" si="0"/>
        <v>21</v>
      </c>
    </row>
    <row r="14" spans="1:7" ht="30" customHeight="1">
      <c r="A14" s="50">
        <v>9</v>
      </c>
      <c r="B14" s="51" t="s">
        <v>417</v>
      </c>
      <c r="C14" s="50" t="s">
        <v>406</v>
      </c>
      <c r="D14" s="52" t="s">
        <v>357</v>
      </c>
      <c r="E14" s="50">
        <v>96</v>
      </c>
      <c r="F14" s="50">
        <v>31</v>
      </c>
      <c r="G14" s="50">
        <f t="shared" si="0"/>
        <v>65</v>
      </c>
    </row>
    <row r="15" spans="1:7" ht="30" customHeight="1">
      <c r="A15" s="50">
        <v>10</v>
      </c>
      <c r="B15" s="51" t="s">
        <v>418</v>
      </c>
      <c r="C15" s="50" t="s">
        <v>405</v>
      </c>
      <c r="D15" s="52" t="s">
        <v>348</v>
      </c>
      <c r="E15" s="50">
        <v>54</v>
      </c>
      <c r="F15" s="50">
        <v>0</v>
      </c>
      <c r="G15" s="50">
        <f t="shared" si="0"/>
        <v>54</v>
      </c>
    </row>
    <row r="16" spans="1:7">
      <c r="A16" s="50">
        <v>11</v>
      </c>
      <c r="B16" s="51" t="s">
        <v>340</v>
      </c>
      <c r="C16" s="50" t="s">
        <v>406</v>
      </c>
      <c r="D16" s="52" t="s">
        <v>341</v>
      </c>
      <c r="E16" s="50">
        <v>52</v>
      </c>
      <c r="F16" s="50">
        <v>11</v>
      </c>
      <c r="G16" s="50">
        <f t="shared" si="0"/>
        <v>41</v>
      </c>
    </row>
    <row r="17" spans="1:7">
      <c r="A17" s="50">
        <v>12</v>
      </c>
      <c r="B17" s="51" t="s">
        <v>419</v>
      </c>
      <c r="C17" s="50" t="s">
        <v>405</v>
      </c>
      <c r="D17" s="52" t="s">
        <v>354</v>
      </c>
      <c r="E17" s="50">
        <v>95</v>
      </c>
      <c r="F17" s="50">
        <v>78</v>
      </c>
      <c r="G17" s="50">
        <f t="shared" si="0"/>
        <v>17</v>
      </c>
    </row>
    <row r="18" spans="1:7">
      <c r="A18" s="50">
        <v>13</v>
      </c>
      <c r="B18" s="51" t="s">
        <v>420</v>
      </c>
      <c r="C18" s="50" t="s">
        <v>407</v>
      </c>
      <c r="D18" s="52" t="s">
        <v>348</v>
      </c>
      <c r="E18" s="50">
        <v>66</v>
      </c>
      <c r="F18" s="50">
        <v>48</v>
      </c>
      <c r="G18" s="50">
        <f t="shared" si="0"/>
        <v>18</v>
      </c>
    </row>
    <row r="19" spans="1:7">
      <c r="A19" s="50">
        <v>14</v>
      </c>
      <c r="B19" s="51" t="s">
        <v>421</v>
      </c>
      <c r="C19" s="50" t="s">
        <v>400</v>
      </c>
      <c r="D19" s="52" t="s">
        <v>341</v>
      </c>
      <c r="E19" s="50">
        <v>43</v>
      </c>
      <c r="F19" s="50">
        <v>35</v>
      </c>
      <c r="G19" s="50">
        <f t="shared" si="0"/>
        <v>8</v>
      </c>
    </row>
    <row r="20" spans="1:7">
      <c r="A20" s="50">
        <v>15</v>
      </c>
      <c r="B20" s="51" t="s">
        <v>422</v>
      </c>
      <c r="C20" s="50" t="s">
        <v>401</v>
      </c>
      <c r="D20" s="52" t="s">
        <v>346</v>
      </c>
      <c r="E20" s="50">
        <v>66</v>
      </c>
      <c r="F20" s="50">
        <v>41</v>
      </c>
      <c r="G20" s="50">
        <f t="shared" si="0"/>
        <v>25</v>
      </c>
    </row>
    <row r="21" spans="1:7">
      <c r="A21" s="50">
        <v>16</v>
      </c>
      <c r="B21" s="51" t="s">
        <v>423</v>
      </c>
      <c r="C21" s="50" t="s">
        <v>405</v>
      </c>
      <c r="D21" s="52" t="s">
        <v>341</v>
      </c>
      <c r="E21" s="50">
        <v>12</v>
      </c>
      <c r="F21" s="50">
        <v>6</v>
      </c>
      <c r="G21" s="50">
        <f t="shared" si="0"/>
        <v>6</v>
      </c>
    </row>
    <row r="22" spans="1:7">
      <c r="A22" s="50">
        <v>17</v>
      </c>
      <c r="B22" s="51" t="s">
        <v>424</v>
      </c>
      <c r="C22" s="50" t="s">
        <v>408</v>
      </c>
      <c r="D22" s="52" t="s">
        <v>341</v>
      </c>
      <c r="E22" s="50">
        <v>360</v>
      </c>
      <c r="F22" s="50">
        <v>108</v>
      </c>
      <c r="G22" s="50">
        <f t="shared" si="0"/>
        <v>252</v>
      </c>
    </row>
    <row r="23" spans="1:7">
      <c r="A23" s="50">
        <v>18</v>
      </c>
      <c r="B23" s="51" t="s">
        <v>425</v>
      </c>
      <c r="C23" s="50" t="s">
        <v>400</v>
      </c>
      <c r="D23" s="52" t="s">
        <v>344</v>
      </c>
      <c r="E23" s="50">
        <v>219</v>
      </c>
      <c r="F23" s="50">
        <v>10</v>
      </c>
      <c r="G23" s="50">
        <f t="shared" si="0"/>
        <v>209</v>
      </c>
    </row>
    <row r="24" spans="1:7">
      <c r="A24" s="50">
        <v>19</v>
      </c>
      <c r="B24" s="51" t="s">
        <v>426</v>
      </c>
      <c r="C24" s="50" t="s">
        <v>401</v>
      </c>
      <c r="D24" s="52" t="s">
        <v>369</v>
      </c>
      <c r="E24" s="50">
        <v>230</v>
      </c>
      <c r="F24" s="50">
        <v>24</v>
      </c>
      <c r="G24" s="50">
        <f t="shared" si="0"/>
        <v>206</v>
      </c>
    </row>
    <row r="25" spans="1:7">
      <c r="A25" s="50">
        <v>20</v>
      </c>
      <c r="B25" s="51" t="s">
        <v>427</v>
      </c>
      <c r="C25" s="50" t="s">
        <v>408</v>
      </c>
      <c r="D25" s="52" t="s">
        <v>341</v>
      </c>
      <c r="E25" s="50">
        <v>23</v>
      </c>
      <c r="F25" s="50">
        <v>15</v>
      </c>
      <c r="G25" s="50">
        <f t="shared" si="0"/>
        <v>8</v>
      </c>
    </row>
    <row r="26" spans="1:7" ht="18.600000000000001" thickBot="1">
      <c r="A26" s="50">
        <v>21</v>
      </c>
      <c r="B26" s="51" t="s">
        <v>428</v>
      </c>
      <c r="C26" s="50" t="s">
        <v>404</v>
      </c>
      <c r="D26" s="52"/>
      <c r="E26" s="50">
        <v>174</v>
      </c>
      <c r="F26" s="50">
        <v>20</v>
      </c>
      <c r="G26" s="50">
        <f t="shared" si="0"/>
        <v>154</v>
      </c>
    </row>
    <row r="27" spans="1:7" ht="18.600000000000001" thickBot="1">
      <c r="A27" s="54"/>
      <c r="B27" s="54" t="s">
        <v>378</v>
      </c>
      <c r="C27" s="54"/>
      <c r="D27" s="54"/>
      <c r="E27" s="54">
        <f>SUM(E6:E26)</f>
        <v>2858</v>
      </c>
      <c r="F27" s="54">
        <f>SUM(F6:F26)</f>
        <v>1068</v>
      </c>
      <c r="G27" s="54">
        <f>SUM(G6:G26)</f>
        <v>1790</v>
      </c>
    </row>
    <row r="28" spans="1:7" ht="18.600000000000001" thickBot="1"/>
    <row r="29" spans="1:7" ht="18.600000000000001" thickBot="1">
      <c r="A29" s="59" t="s">
        <v>380</v>
      </c>
      <c r="B29" s="60"/>
      <c r="C29" s="60"/>
      <c r="D29" s="60"/>
      <c r="E29" s="60"/>
      <c r="F29" s="60"/>
      <c r="G29" s="61"/>
    </row>
    <row r="30" spans="1:7" ht="36.6" thickBot="1">
      <c r="A30" s="46" t="s">
        <v>372</v>
      </c>
      <c r="B30" s="46" t="s">
        <v>373</v>
      </c>
      <c r="C30" s="46" t="s">
        <v>399</v>
      </c>
      <c r="D30" s="47" t="s">
        <v>374</v>
      </c>
      <c r="E30" s="48" t="s">
        <v>375</v>
      </c>
      <c r="F30" s="49" t="s">
        <v>376</v>
      </c>
      <c r="G30" s="49" t="s">
        <v>377</v>
      </c>
    </row>
    <row r="31" spans="1:7" ht="18.600000000000001" thickBot="1">
      <c r="A31" s="50">
        <v>1</v>
      </c>
      <c r="B31" s="51" t="s">
        <v>379</v>
      </c>
      <c r="C31" s="50" t="s">
        <v>400</v>
      </c>
      <c r="D31" s="52" t="s">
        <v>359</v>
      </c>
      <c r="E31" s="50">
        <v>23</v>
      </c>
      <c r="F31" s="50">
        <v>12</v>
      </c>
      <c r="G31" s="50">
        <f>E31-F31</f>
        <v>11</v>
      </c>
    </row>
    <row r="32" spans="1:7" ht="18.600000000000001" thickBot="1">
      <c r="A32" s="54"/>
      <c r="B32" s="54" t="s">
        <v>378</v>
      </c>
      <c r="C32" s="54"/>
      <c r="D32" s="54"/>
      <c r="E32" s="54">
        <f>SUM(E31)</f>
        <v>23</v>
      </c>
      <c r="F32" s="54">
        <f>SUM(F31)</f>
        <v>12</v>
      </c>
      <c r="G32" s="54">
        <f>SUM(G31)</f>
        <v>11</v>
      </c>
    </row>
  </sheetData>
  <mergeCells count="5">
    <mergeCell ref="A1:G1"/>
    <mergeCell ref="A2:G2"/>
    <mergeCell ref="A3:G3"/>
    <mergeCell ref="A4:G4"/>
    <mergeCell ref="A29:G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opLeftCell="A126" workbookViewId="0">
      <selection activeCell="E120" sqref="E120"/>
    </sheetView>
  </sheetViews>
  <sheetFormatPr defaultRowHeight="14.4"/>
  <cols>
    <col min="1" max="1" width="14.109375" bestFit="1" customWidth="1"/>
    <col min="2" max="2" width="59.33203125" customWidth="1"/>
    <col min="3" max="3" width="28.6640625" style="8" customWidth="1"/>
    <col min="4" max="4" width="22.6640625" style="5" customWidth="1"/>
    <col min="5" max="5" width="14.88671875" style="5" customWidth="1"/>
    <col min="6" max="6" width="10" style="5" customWidth="1"/>
  </cols>
  <sheetData>
    <row r="1" spans="1:6" s="5" customFormat="1" ht="42.6" thickBot="1">
      <c r="A1" s="10" t="s">
        <v>0</v>
      </c>
      <c r="B1" s="10" t="s">
        <v>1</v>
      </c>
      <c r="C1" s="12" t="s">
        <v>335</v>
      </c>
      <c r="D1" s="13" t="s">
        <v>336</v>
      </c>
      <c r="E1" s="16" t="s">
        <v>337</v>
      </c>
      <c r="F1" s="17" t="s">
        <v>338</v>
      </c>
    </row>
    <row r="2" spans="1:6" ht="21">
      <c r="A2" s="9" t="s">
        <v>3</v>
      </c>
      <c r="B2" s="9" t="s">
        <v>4</v>
      </c>
      <c r="C2" s="11"/>
      <c r="D2" s="14">
        <v>60</v>
      </c>
      <c r="E2" s="14">
        <v>2</v>
      </c>
      <c r="F2" s="20">
        <f>D2-E2</f>
        <v>58</v>
      </c>
    </row>
    <row r="3" spans="1:6" ht="21">
      <c r="A3" s="3" t="s">
        <v>5</v>
      </c>
      <c r="B3" s="3" t="s">
        <v>6</v>
      </c>
      <c r="C3" s="7"/>
      <c r="D3" s="15">
        <v>11</v>
      </c>
      <c r="E3" s="14">
        <v>4</v>
      </c>
      <c r="F3" s="20">
        <f t="shared" ref="F3:F66" si="0">D3-E3</f>
        <v>7</v>
      </c>
    </row>
    <row r="4" spans="1:6" ht="21">
      <c r="A4" s="3" t="s">
        <v>7</v>
      </c>
      <c r="B4" s="3" t="s">
        <v>8</v>
      </c>
      <c r="C4" s="7"/>
      <c r="D4" s="15">
        <v>23</v>
      </c>
      <c r="E4" s="14">
        <v>5</v>
      </c>
      <c r="F4" s="20">
        <f t="shared" si="0"/>
        <v>18</v>
      </c>
    </row>
    <row r="5" spans="1:6" ht="23.4">
      <c r="A5" s="25"/>
      <c r="B5" s="25" t="s">
        <v>340</v>
      </c>
      <c r="C5" s="21" t="s">
        <v>341</v>
      </c>
      <c r="D5" s="22">
        <f>SUM(D2:D4)</f>
        <v>94</v>
      </c>
      <c r="E5" s="23">
        <f>SUM(E2:E4)</f>
        <v>11</v>
      </c>
      <c r="F5" s="24">
        <f t="shared" si="0"/>
        <v>83</v>
      </c>
    </row>
    <row r="6" spans="1:6" ht="21">
      <c r="A6" s="3" t="s">
        <v>9</v>
      </c>
      <c r="B6" s="3" t="s">
        <v>10</v>
      </c>
      <c r="C6" s="7"/>
      <c r="D6" s="15">
        <v>50</v>
      </c>
      <c r="E6" s="14">
        <v>6</v>
      </c>
      <c r="F6" s="20">
        <f t="shared" si="0"/>
        <v>44</v>
      </c>
    </row>
    <row r="7" spans="1:6" ht="21">
      <c r="A7" s="3" t="s">
        <v>21</v>
      </c>
      <c r="B7" s="3" t="s">
        <v>22</v>
      </c>
      <c r="C7" s="7"/>
      <c r="D7" s="15">
        <v>37</v>
      </c>
      <c r="E7" s="14">
        <v>4</v>
      </c>
      <c r="F7" s="20">
        <f t="shared" si="0"/>
        <v>33</v>
      </c>
    </row>
    <row r="8" spans="1:6" ht="21">
      <c r="A8" s="3" t="s">
        <v>71</v>
      </c>
      <c r="B8" s="3" t="s">
        <v>72</v>
      </c>
      <c r="C8" s="7"/>
      <c r="D8" s="15">
        <v>37</v>
      </c>
      <c r="E8" s="14">
        <v>4</v>
      </c>
      <c r="F8" s="20">
        <f t="shared" si="0"/>
        <v>33</v>
      </c>
    </row>
    <row r="9" spans="1:6" ht="21">
      <c r="A9" s="3" t="s">
        <v>73</v>
      </c>
      <c r="B9" s="3" t="s">
        <v>74</v>
      </c>
      <c r="C9" s="7"/>
      <c r="D9" s="15">
        <v>50</v>
      </c>
      <c r="E9" s="14">
        <v>6</v>
      </c>
      <c r="F9" s="20">
        <f t="shared" si="0"/>
        <v>44</v>
      </c>
    </row>
    <row r="10" spans="1:6" ht="23.4">
      <c r="A10" s="25"/>
      <c r="B10" s="25" t="s">
        <v>342</v>
      </c>
      <c r="C10" s="21"/>
      <c r="D10" s="22">
        <f>SUM(D6:D9)</f>
        <v>174</v>
      </c>
      <c r="E10" s="23">
        <f>SUM(E6:E9)</f>
        <v>20</v>
      </c>
      <c r="F10" s="24">
        <f t="shared" si="0"/>
        <v>154</v>
      </c>
    </row>
    <row r="11" spans="1:6" ht="21">
      <c r="A11" s="3" t="s">
        <v>75</v>
      </c>
      <c r="B11" s="3" t="s">
        <v>76</v>
      </c>
      <c r="C11" s="7"/>
      <c r="D11" s="15">
        <v>65</v>
      </c>
      <c r="E11" s="14">
        <v>3</v>
      </c>
      <c r="F11" s="20">
        <f t="shared" si="0"/>
        <v>62</v>
      </c>
    </row>
    <row r="12" spans="1:6" ht="21">
      <c r="A12" s="3" t="s">
        <v>77</v>
      </c>
      <c r="B12" s="3" t="s">
        <v>78</v>
      </c>
      <c r="C12" s="7"/>
      <c r="D12" s="15">
        <v>37</v>
      </c>
      <c r="E12" s="14">
        <v>2</v>
      </c>
      <c r="F12" s="20">
        <f t="shared" si="0"/>
        <v>35</v>
      </c>
    </row>
    <row r="13" spans="1:6" ht="21">
      <c r="A13" s="3" t="s">
        <v>79</v>
      </c>
      <c r="B13" s="3" t="s">
        <v>80</v>
      </c>
      <c r="C13" s="7"/>
      <c r="D13" s="15">
        <v>56</v>
      </c>
      <c r="E13" s="14">
        <v>1</v>
      </c>
      <c r="F13" s="20">
        <f t="shared" si="0"/>
        <v>55</v>
      </c>
    </row>
    <row r="14" spans="1:6" ht="21">
      <c r="A14" s="3" t="s">
        <v>81</v>
      </c>
      <c r="B14" s="3" t="s">
        <v>82</v>
      </c>
      <c r="C14" s="7"/>
      <c r="D14" s="15">
        <v>61</v>
      </c>
      <c r="E14" s="14">
        <v>4</v>
      </c>
      <c r="F14" s="20">
        <f t="shared" si="0"/>
        <v>57</v>
      </c>
    </row>
    <row r="15" spans="1:6" ht="23.4">
      <c r="A15" s="25"/>
      <c r="B15" s="25" t="s">
        <v>343</v>
      </c>
      <c r="C15" s="21" t="s">
        <v>344</v>
      </c>
      <c r="D15" s="22">
        <f>SUM(D11:D14)</f>
        <v>219</v>
      </c>
      <c r="E15" s="23">
        <f>SUM(E11:E14)</f>
        <v>10</v>
      </c>
      <c r="F15" s="24">
        <f t="shared" si="0"/>
        <v>209</v>
      </c>
    </row>
    <row r="16" spans="1:6" ht="21">
      <c r="A16" s="3" t="s">
        <v>11</v>
      </c>
      <c r="B16" s="3" t="s">
        <v>12</v>
      </c>
      <c r="C16" s="7"/>
      <c r="D16" s="15">
        <v>80</v>
      </c>
      <c r="E16" s="14">
        <v>19</v>
      </c>
      <c r="F16" s="20">
        <f t="shared" si="0"/>
        <v>61</v>
      </c>
    </row>
    <row r="17" spans="1:6" ht="21">
      <c r="A17" s="3" t="s">
        <v>13</v>
      </c>
      <c r="B17" s="3" t="s">
        <v>14</v>
      </c>
      <c r="C17" s="7"/>
      <c r="D17" s="15">
        <v>45</v>
      </c>
      <c r="E17" s="14">
        <v>10</v>
      </c>
      <c r="F17" s="20">
        <f t="shared" si="0"/>
        <v>35</v>
      </c>
    </row>
    <row r="18" spans="1:6" ht="21">
      <c r="A18" s="3" t="s">
        <v>15</v>
      </c>
      <c r="B18" s="3" t="s">
        <v>16</v>
      </c>
      <c r="C18" s="7"/>
      <c r="D18" s="15">
        <v>50</v>
      </c>
      <c r="E18" s="14">
        <v>5</v>
      </c>
      <c r="F18" s="20">
        <f t="shared" si="0"/>
        <v>45</v>
      </c>
    </row>
    <row r="19" spans="1:6" ht="21">
      <c r="A19" s="3" t="s">
        <v>17</v>
      </c>
      <c r="B19" s="3" t="s">
        <v>18</v>
      </c>
      <c r="C19" s="7"/>
      <c r="D19" s="15">
        <v>50</v>
      </c>
      <c r="E19" s="14">
        <v>2</v>
      </c>
      <c r="F19" s="20">
        <f t="shared" si="0"/>
        <v>48</v>
      </c>
    </row>
    <row r="20" spans="1:6" ht="21">
      <c r="A20" s="3" t="s">
        <v>19</v>
      </c>
      <c r="B20" s="3" t="s">
        <v>20</v>
      </c>
      <c r="C20" s="7"/>
      <c r="D20" s="15">
        <v>35</v>
      </c>
      <c r="E20" s="14">
        <v>5</v>
      </c>
      <c r="F20" s="20">
        <f t="shared" si="0"/>
        <v>30</v>
      </c>
    </row>
    <row r="21" spans="1:6" ht="21">
      <c r="A21" s="3" t="s">
        <v>23</v>
      </c>
      <c r="B21" s="3" t="s">
        <v>24</v>
      </c>
      <c r="C21" s="7"/>
      <c r="D21" s="15">
        <v>70</v>
      </c>
      <c r="E21" s="14">
        <v>0</v>
      </c>
      <c r="F21" s="20">
        <f t="shared" si="0"/>
        <v>70</v>
      </c>
    </row>
    <row r="22" spans="1:6" ht="21">
      <c r="A22" s="3" t="s">
        <v>25</v>
      </c>
      <c r="B22" s="3" t="s">
        <v>26</v>
      </c>
      <c r="C22" s="7"/>
      <c r="D22" s="15">
        <v>70</v>
      </c>
      <c r="E22" s="14">
        <v>0</v>
      </c>
      <c r="F22" s="20">
        <f t="shared" si="0"/>
        <v>70</v>
      </c>
    </row>
    <row r="23" spans="1:6" ht="23.4">
      <c r="A23" s="25"/>
      <c r="B23" s="25" t="s">
        <v>345</v>
      </c>
      <c r="C23" s="21" t="s">
        <v>346</v>
      </c>
      <c r="D23" s="22">
        <f>SUM(D16:D22)</f>
        <v>400</v>
      </c>
      <c r="E23" s="23">
        <f>SUM(E16:E22)</f>
        <v>41</v>
      </c>
      <c r="F23" s="24">
        <f t="shared" si="0"/>
        <v>359</v>
      </c>
    </row>
    <row r="24" spans="1:6" ht="21">
      <c r="A24" s="3" t="s">
        <v>39</v>
      </c>
      <c r="B24" s="3" t="s">
        <v>40</v>
      </c>
      <c r="C24" s="7"/>
      <c r="D24" s="15">
        <v>35</v>
      </c>
      <c r="E24" s="14">
        <v>0</v>
      </c>
      <c r="F24" s="20">
        <f t="shared" si="0"/>
        <v>35</v>
      </c>
    </row>
    <row r="25" spans="1:6" ht="21">
      <c r="A25" s="3" t="s">
        <v>41</v>
      </c>
      <c r="B25" s="3" t="s">
        <v>42</v>
      </c>
      <c r="C25" s="7"/>
      <c r="D25" s="15">
        <v>65</v>
      </c>
      <c r="E25" s="14">
        <v>0</v>
      </c>
      <c r="F25" s="20">
        <f t="shared" si="0"/>
        <v>65</v>
      </c>
    </row>
    <row r="26" spans="1:6" ht="21">
      <c r="A26" s="3" t="s">
        <v>43</v>
      </c>
      <c r="B26" s="3" t="s">
        <v>44</v>
      </c>
      <c r="C26" s="7"/>
      <c r="D26" s="15">
        <v>45</v>
      </c>
      <c r="E26" s="14">
        <v>0</v>
      </c>
      <c r="F26" s="20">
        <f t="shared" si="0"/>
        <v>45</v>
      </c>
    </row>
    <row r="27" spans="1:6" ht="21">
      <c r="A27" s="3" t="s">
        <v>45</v>
      </c>
      <c r="B27" s="3" t="s">
        <v>46</v>
      </c>
      <c r="C27" s="7"/>
      <c r="D27" s="15">
        <v>60</v>
      </c>
      <c r="E27" s="14">
        <v>0</v>
      </c>
      <c r="F27" s="20">
        <f t="shared" si="0"/>
        <v>60</v>
      </c>
    </row>
    <row r="28" spans="1:6" ht="21">
      <c r="A28" s="3" t="s">
        <v>47</v>
      </c>
      <c r="B28" s="3" t="s">
        <v>48</v>
      </c>
      <c r="C28" s="7"/>
      <c r="D28" s="15">
        <v>35</v>
      </c>
      <c r="E28" s="14">
        <v>0</v>
      </c>
      <c r="F28" s="20">
        <f t="shared" si="0"/>
        <v>35</v>
      </c>
    </row>
    <row r="29" spans="1:6" ht="21">
      <c r="A29" s="3" t="s">
        <v>49</v>
      </c>
      <c r="B29" s="3" t="s">
        <v>50</v>
      </c>
      <c r="C29" s="7"/>
      <c r="D29" s="15">
        <v>45</v>
      </c>
      <c r="E29" s="14">
        <v>0</v>
      </c>
      <c r="F29" s="20">
        <f t="shared" si="0"/>
        <v>45</v>
      </c>
    </row>
    <row r="30" spans="1:6" ht="21">
      <c r="A30" s="3" t="s">
        <v>51</v>
      </c>
      <c r="B30" s="3" t="s">
        <v>52</v>
      </c>
      <c r="C30" s="7"/>
      <c r="D30" s="15">
        <v>35</v>
      </c>
      <c r="E30" s="14">
        <v>0</v>
      </c>
      <c r="F30" s="20">
        <f t="shared" si="0"/>
        <v>35</v>
      </c>
    </row>
    <row r="31" spans="1:6" ht="21">
      <c r="A31" s="3" t="s">
        <v>53</v>
      </c>
      <c r="B31" s="3" t="s">
        <v>54</v>
      </c>
      <c r="C31" s="7"/>
      <c r="D31" s="15">
        <v>45</v>
      </c>
      <c r="E31" s="14">
        <v>0</v>
      </c>
      <c r="F31" s="20">
        <f t="shared" si="0"/>
        <v>45</v>
      </c>
    </row>
    <row r="32" spans="1:6" ht="21">
      <c r="A32" s="3" t="s">
        <v>27</v>
      </c>
      <c r="B32" s="3" t="s">
        <v>28</v>
      </c>
      <c r="C32" s="7"/>
      <c r="D32" s="15">
        <v>30</v>
      </c>
      <c r="E32" s="14">
        <v>0</v>
      </c>
      <c r="F32" s="20">
        <f t="shared" si="0"/>
        <v>30</v>
      </c>
    </row>
    <row r="33" spans="1:6" ht="21">
      <c r="A33" s="3" t="s">
        <v>29</v>
      </c>
      <c r="B33" s="3" t="s">
        <v>30</v>
      </c>
      <c r="C33" s="7"/>
      <c r="D33" s="15">
        <v>15</v>
      </c>
      <c r="E33" s="14">
        <v>0</v>
      </c>
      <c r="F33" s="20">
        <f t="shared" si="0"/>
        <v>15</v>
      </c>
    </row>
    <row r="34" spans="1:6" ht="21">
      <c r="A34" s="3" t="s">
        <v>31</v>
      </c>
      <c r="B34" s="3" t="s">
        <v>32</v>
      </c>
      <c r="C34" s="7"/>
      <c r="D34" s="15">
        <v>21</v>
      </c>
      <c r="E34" s="14">
        <v>0</v>
      </c>
      <c r="F34" s="20">
        <f t="shared" si="0"/>
        <v>21</v>
      </c>
    </row>
    <row r="35" spans="1:6" ht="21">
      <c r="A35" s="3" t="s">
        <v>33</v>
      </c>
      <c r="B35" s="3" t="s">
        <v>34</v>
      </c>
      <c r="C35" s="7"/>
      <c r="D35" s="15">
        <v>62</v>
      </c>
      <c r="E35" s="14">
        <v>0</v>
      </c>
      <c r="F35" s="20">
        <f t="shared" si="0"/>
        <v>62</v>
      </c>
    </row>
    <row r="36" spans="1:6" ht="21">
      <c r="A36" s="3" t="s">
        <v>35</v>
      </c>
      <c r="B36" s="3" t="s">
        <v>36</v>
      </c>
      <c r="C36" s="7"/>
      <c r="D36" s="15">
        <v>70</v>
      </c>
      <c r="E36" s="14">
        <v>0</v>
      </c>
      <c r="F36" s="20">
        <f t="shared" si="0"/>
        <v>70</v>
      </c>
    </row>
    <row r="37" spans="1:6" ht="21">
      <c r="A37" s="3" t="s">
        <v>37</v>
      </c>
      <c r="B37" s="3" t="s">
        <v>38</v>
      </c>
      <c r="C37" s="7"/>
      <c r="D37" s="15">
        <v>50</v>
      </c>
      <c r="E37" s="14">
        <v>0</v>
      </c>
      <c r="F37" s="20">
        <f t="shared" si="0"/>
        <v>50</v>
      </c>
    </row>
    <row r="38" spans="1:6" ht="23.4">
      <c r="A38" s="25"/>
      <c r="B38" s="25" t="s">
        <v>347</v>
      </c>
      <c r="C38" s="21" t="s">
        <v>348</v>
      </c>
      <c r="D38" s="22">
        <f>SUM(D24:D37)</f>
        <v>613</v>
      </c>
      <c r="E38" s="23">
        <f>SUM(E24:E37)</f>
        <v>0</v>
      </c>
      <c r="F38" s="24">
        <f t="shared" si="0"/>
        <v>613</v>
      </c>
    </row>
    <row r="39" spans="1:6" ht="21">
      <c r="A39" s="3" t="s">
        <v>55</v>
      </c>
      <c r="B39" s="3" t="s">
        <v>56</v>
      </c>
      <c r="C39" s="7"/>
      <c r="D39" s="15">
        <v>55</v>
      </c>
      <c r="E39" s="14">
        <v>30</v>
      </c>
      <c r="F39" s="20">
        <f t="shared" si="0"/>
        <v>25</v>
      </c>
    </row>
    <row r="40" spans="1:6" ht="21">
      <c r="A40" s="3" t="s">
        <v>57</v>
      </c>
      <c r="B40" s="3" t="s">
        <v>58</v>
      </c>
      <c r="C40" s="7"/>
      <c r="D40" s="15">
        <v>64</v>
      </c>
      <c r="E40" s="14">
        <v>51</v>
      </c>
      <c r="F40" s="20">
        <f t="shared" si="0"/>
        <v>13</v>
      </c>
    </row>
    <row r="41" spans="1:6" ht="21">
      <c r="A41" s="3" t="s">
        <v>59</v>
      </c>
      <c r="B41" s="3" t="s">
        <v>60</v>
      </c>
      <c r="C41" s="7"/>
      <c r="D41" s="15">
        <v>12</v>
      </c>
      <c r="E41" s="14">
        <v>6</v>
      </c>
      <c r="F41" s="20">
        <f t="shared" si="0"/>
        <v>6</v>
      </c>
    </row>
    <row r="42" spans="1:6" ht="21">
      <c r="A42" s="3" t="s">
        <v>61</v>
      </c>
      <c r="B42" s="3" t="s">
        <v>62</v>
      </c>
      <c r="C42" s="7"/>
      <c r="D42" s="15">
        <v>22</v>
      </c>
      <c r="E42" s="14">
        <v>2</v>
      </c>
      <c r="F42" s="20">
        <f t="shared" si="0"/>
        <v>20</v>
      </c>
    </row>
    <row r="43" spans="1:6" ht="21">
      <c r="A43" s="3" t="s">
        <v>63</v>
      </c>
      <c r="B43" s="3" t="s">
        <v>64</v>
      </c>
      <c r="C43" s="7"/>
      <c r="D43" s="15">
        <v>69</v>
      </c>
      <c r="E43" s="14">
        <v>46</v>
      </c>
      <c r="F43" s="20">
        <f t="shared" si="0"/>
        <v>23</v>
      </c>
    </row>
    <row r="44" spans="1:6" ht="21">
      <c r="A44" s="3" t="s">
        <v>65</v>
      </c>
      <c r="B44" s="3" t="s">
        <v>66</v>
      </c>
      <c r="C44" s="7"/>
      <c r="D44" s="15">
        <v>65</v>
      </c>
      <c r="E44" s="14">
        <v>14</v>
      </c>
      <c r="F44" s="20">
        <f t="shared" si="0"/>
        <v>51</v>
      </c>
    </row>
    <row r="45" spans="1:6" ht="21">
      <c r="A45" s="3" t="s">
        <v>67</v>
      </c>
      <c r="B45" s="3" t="s">
        <v>68</v>
      </c>
      <c r="C45" s="7"/>
      <c r="D45" s="15">
        <v>35</v>
      </c>
      <c r="E45" s="14">
        <v>0</v>
      </c>
      <c r="F45" s="20">
        <f t="shared" si="0"/>
        <v>35</v>
      </c>
    </row>
    <row r="46" spans="1:6" ht="21">
      <c r="A46" s="3" t="s">
        <v>69</v>
      </c>
      <c r="B46" s="3" t="s">
        <v>70</v>
      </c>
      <c r="C46" s="7"/>
      <c r="D46" s="15">
        <v>32</v>
      </c>
      <c r="E46" s="14">
        <v>3</v>
      </c>
      <c r="F46" s="20">
        <f t="shared" si="0"/>
        <v>29</v>
      </c>
    </row>
    <row r="47" spans="1:6" ht="23.4">
      <c r="A47" s="25"/>
      <c r="B47" s="25" t="s">
        <v>349</v>
      </c>
      <c r="C47" s="21" t="s">
        <v>348</v>
      </c>
      <c r="D47" s="22">
        <f>SUM(D39:D46)</f>
        <v>354</v>
      </c>
      <c r="E47" s="23">
        <f>SUM(E39:E46)</f>
        <v>152</v>
      </c>
      <c r="F47" s="24">
        <f t="shared" si="0"/>
        <v>202</v>
      </c>
    </row>
    <row r="48" spans="1:6" ht="21">
      <c r="A48" s="3" t="s">
        <v>87</v>
      </c>
      <c r="B48" s="3" t="s">
        <v>88</v>
      </c>
      <c r="C48" s="7"/>
      <c r="D48" s="15">
        <v>66</v>
      </c>
      <c r="E48" s="14">
        <v>45</v>
      </c>
      <c r="F48" s="20">
        <f t="shared" si="0"/>
        <v>21</v>
      </c>
    </row>
    <row r="49" spans="1:6" ht="21">
      <c r="A49" s="3" t="s">
        <v>89</v>
      </c>
      <c r="B49" s="3" t="s">
        <v>90</v>
      </c>
      <c r="C49" s="7"/>
      <c r="D49" s="15">
        <v>66</v>
      </c>
      <c r="E49" s="14">
        <v>47</v>
      </c>
      <c r="F49" s="20">
        <f t="shared" si="0"/>
        <v>19</v>
      </c>
    </row>
    <row r="50" spans="1:6" ht="21">
      <c r="A50" s="3" t="s">
        <v>91</v>
      </c>
      <c r="B50" s="3" t="s">
        <v>92</v>
      </c>
      <c r="C50" s="7"/>
      <c r="D50" s="15">
        <v>66</v>
      </c>
      <c r="E50" s="14">
        <v>16</v>
      </c>
      <c r="F50" s="20">
        <f t="shared" si="0"/>
        <v>50</v>
      </c>
    </row>
    <row r="51" spans="1:6" ht="23.4">
      <c r="A51" s="25"/>
      <c r="B51" s="25" t="s">
        <v>350</v>
      </c>
      <c r="C51" s="21" t="s">
        <v>341</v>
      </c>
      <c r="D51" s="22">
        <f>SUM(D48:D50)</f>
        <v>198</v>
      </c>
      <c r="E51" s="23">
        <f>SUM(E48:E50)</f>
        <v>108</v>
      </c>
      <c r="F51" s="24">
        <f t="shared" si="0"/>
        <v>90</v>
      </c>
    </row>
    <row r="52" spans="1:6" ht="21">
      <c r="A52" s="3" t="s">
        <v>93</v>
      </c>
      <c r="B52" s="3" t="s">
        <v>94</v>
      </c>
      <c r="C52" s="7"/>
      <c r="D52" s="15">
        <v>45</v>
      </c>
      <c r="E52" s="14">
        <v>12</v>
      </c>
      <c r="F52" s="20">
        <f t="shared" si="0"/>
        <v>33</v>
      </c>
    </row>
    <row r="53" spans="1:6" ht="21">
      <c r="A53" s="3" t="s">
        <v>95</v>
      </c>
      <c r="B53" s="3" t="s">
        <v>96</v>
      </c>
      <c r="C53" s="7"/>
      <c r="D53" s="15">
        <v>56</v>
      </c>
      <c r="E53" s="14">
        <v>5</v>
      </c>
      <c r="F53" s="20">
        <f t="shared" si="0"/>
        <v>51</v>
      </c>
    </row>
    <row r="54" spans="1:6" ht="21">
      <c r="A54" s="3" t="s">
        <v>97</v>
      </c>
      <c r="B54" s="3" t="s">
        <v>98</v>
      </c>
      <c r="C54" s="7"/>
      <c r="D54" s="15">
        <v>95</v>
      </c>
      <c r="E54" s="14">
        <v>18</v>
      </c>
      <c r="F54" s="20">
        <f t="shared" si="0"/>
        <v>77</v>
      </c>
    </row>
    <row r="55" spans="1:6" ht="23.4">
      <c r="A55" s="25"/>
      <c r="B55" s="25" t="s">
        <v>351</v>
      </c>
      <c r="C55" s="21" t="s">
        <v>341</v>
      </c>
      <c r="D55" s="22">
        <f>SUM(D52:D54)</f>
        <v>196</v>
      </c>
      <c r="E55" s="23">
        <f>SUM(E52:E54)</f>
        <v>35</v>
      </c>
      <c r="F55" s="24">
        <f t="shared" si="0"/>
        <v>161</v>
      </c>
    </row>
    <row r="56" spans="1:6" ht="21">
      <c r="A56" s="3" t="s">
        <v>111</v>
      </c>
      <c r="B56" s="3" t="s">
        <v>112</v>
      </c>
      <c r="C56" s="7"/>
      <c r="D56" s="15">
        <v>14</v>
      </c>
      <c r="E56" s="14">
        <v>10</v>
      </c>
      <c r="F56" s="20">
        <f t="shared" si="0"/>
        <v>4</v>
      </c>
    </row>
    <row r="57" spans="1:6" ht="21">
      <c r="A57" s="3" t="s">
        <v>113</v>
      </c>
      <c r="B57" s="3" t="s">
        <v>114</v>
      </c>
      <c r="C57" s="7"/>
      <c r="D57" s="15">
        <v>65</v>
      </c>
      <c r="E57" s="14">
        <v>38</v>
      </c>
      <c r="F57" s="20">
        <f t="shared" si="0"/>
        <v>27</v>
      </c>
    </row>
    <row r="58" spans="1:6" ht="21">
      <c r="A58" s="3" t="s">
        <v>115</v>
      </c>
      <c r="B58" s="3" t="s">
        <v>116</v>
      </c>
      <c r="C58" s="7"/>
      <c r="D58" s="15">
        <v>85</v>
      </c>
      <c r="E58" s="14">
        <v>8</v>
      </c>
      <c r="F58" s="20">
        <f t="shared" si="0"/>
        <v>77</v>
      </c>
    </row>
    <row r="59" spans="1:6" ht="23.4">
      <c r="A59" s="25"/>
      <c r="B59" s="25" t="s">
        <v>352</v>
      </c>
      <c r="C59" s="21" t="s">
        <v>341</v>
      </c>
      <c r="D59" s="22">
        <f>SUM(D56:D58)</f>
        <v>164</v>
      </c>
      <c r="E59" s="23">
        <f>SUM(E56:E58)</f>
        <v>56</v>
      </c>
      <c r="F59" s="24">
        <f t="shared" si="0"/>
        <v>108</v>
      </c>
    </row>
    <row r="60" spans="1:6" ht="21">
      <c r="A60" s="3" t="s">
        <v>131</v>
      </c>
      <c r="B60" s="3" t="s">
        <v>132</v>
      </c>
      <c r="C60" s="7"/>
      <c r="D60" s="15">
        <v>54</v>
      </c>
      <c r="E60" s="14">
        <v>19</v>
      </c>
      <c r="F60" s="20">
        <f t="shared" si="0"/>
        <v>35</v>
      </c>
    </row>
    <row r="61" spans="1:6" ht="21">
      <c r="A61" s="3" t="s">
        <v>133</v>
      </c>
      <c r="B61" s="3" t="s">
        <v>134</v>
      </c>
      <c r="C61" s="7"/>
      <c r="D61" s="15">
        <v>23</v>
      </c>
      <c r="E61" s="14">
        <v>26</v>
      </c>
      <c r="F61" s="20">
        <f t="shared" si="0"/>
        <v>-3</v>
      </c>
    </row>
    <row r="62" spans="1:6" ht="21">
      <c r="A62" s="3" t="s">
        <v>135</v>
      </c>
      <c r="B62" s="3" t="s">
        <v>136</v>
      </c>
      <c r="C62" s="7"/>
      <c r="D62" s="15">
        <v>54</v>
      </c>
      <c r="E62" s="14">
        <v>21</v>
      </c>
      <c r="F62" s="20">
        <f t="shared" si="0"/>
        <v>33</v>
      </c>
    </row>
    <row r="63" spans="1:6" ht="21">
      <c r="A63" s="3" t="s">
        <v>137</v>
      </c>
      <c r="B63" s="3" t="s">
        <v>138</v>
      </c>
      <c r="C63" s="7"/>
      <c r="D63" s="15">
        <v>12</v>
      </c>
      <c r="E63" s="14">
        <v>12</v>
      </c>
      <c r="F63" s="20">
        <f t="shared" si="0"/>
        <v>0</v>
      </c>
    </row>
    <row r="64" spans="1:6" ht="23.4">
      <c r="A64" s="25"/>
      <c r="B64" s="25" t="s">
        <v>353</v>
      </c>
      <c r="C64" s="21" t="s">
        <v>354</v>
      </c>
      <c r="D64" s="22">
        <f>SUM(D60:D63)</f>
        <v>143</v>
      </c>
      <c r="E64" s="23">
        <f>SUM(E60:E63)</f>
        <v>78</v>
      </c>
      <c r="F64" s="24">
        <f t="shared" si="0"/>
        <v>65</v>
      </c>
    </row>
    <row r="65" spans="1:6" ht="21">
      <c r="A65" s="3" t="s">
        <v>163</v>
      </c>
      <c r="B65" s="3" t="s">
        <v>164</v>
      </c>
      <c r="C65" s="7"/>
      <c r="D65" s="15">
        <v>75</v>
      </c>
      <c r="E65" s="14">
        <v>20</v>
      </c>
      <c r="F65" s="20">
        <f t="shared" si="0"/>
        <v>55</v>
      </c>
    </row>
    <row r="66" spans="1:6" ht="21">
      <c r="A66" s="3" t="s">
        <v>159</v>
      </c>
      <c r="B66" s="3" t="s">
        <v>160</v>
      </c>
      <c r="C66" s="7"/>
      <c r="D66" s="15">
        <v>95</v>
      </c>
      <c r="E66" s="14">
        <v>20</v>
      </c>
      <c r="F66" s="20">
        <f t="shared" si="0"/>
        <v>75</v>
      </c>
    </row>
    <row r="67" spans="1:6" ht="21">
      <c r="A67" s="3" t="s">
        <v>161</v>
      </c>
      <c r="B67" s="3" t="s">
        <v>162</v>
      </c>
      <c r="C67" s="7"/>
      <c r="D67" s="15">
        <v>63</v>
      </c>
      <c r="E67" s="14">
        <v>26</v>
      </c>
      <c r="F67" s="20">
        <f t="shared" ref="F67:F130" si="1">D67-E67</f>
        <v>37</v>
      </c>
    </row>
    <row r="68" spans="1:6" ht="23.4">
      <c r="A68" s="25"/>
      <c r="B68" s="25" t="s">
        <v>355</v>
      </c>
      <c r="C68" s="21" t="s">
        <v>341</v>
      </c>
      <c r="D68" s="22">
        <f>SUM(D65:D67)</f>
        <v>233</v>
      </c>
      <c r="E68" s="23">
        <f>SUM(E65:E67)</f>
        <v>66</v>
      </c>
      <c r="F68" s="24">
        <f t="shared" si="1"/>
        <v>167</v>
      </c>
    </row>
    <row r="69" spans="1:6" ht="21">
      <c r="A69" s="3" t="s">
        <v>117</v>
      </c>
      <c r="B69" s="3" t="s">
        <v>118</v>
      </c>
      <c r="C69" s="7"/>
      <c r="D69" s="15">
        <v>4</v>
      </c>
      <c r="E69" s="14">
        <v>0</v>
      </c>
      <c r="F69" s="20">
        <f t="shared" si="1"/>
        <v>4</v>
      </c>
    </row>
    <row r="70" spans="1:6" ht="21">
      <c r="A70" s="3" t="s">
        <v>119</v>
      </c>
      <c r="B70" s="3" t="s">
        <v>120</v>
      </c>
      <c r="C70" s="7"/>
      <c r="D70" s="15">
        <v>15</v>
      </c>
      <c r="E70" s="14">
        <v>11</v>
      </c>
      <c r="F70" s="20">
        <f t="shared" si="1"/>
        <v>4</v>
      </c>
    </row>
    <row r="71" spans="1:6" ht="21">
      <c r="A71" s="3" t="s">
        <v>121</v>
      </c>
      <c r="B71" s="3" t="s">
        <v>122</v>
      </c>
      <c r="C71" s="7"/>
      <c r="D71" s="15">
        <v>25</v>
      </c>
      <c r="E71" s="14">
        <v>7</v>
      </c>
      <c r="F71" s="20">
        <f t="shared" si="1"/>
        <v>18</v>
      </c>
    </row>
    <row r="72" spans="1:6" ht="21">
      <c r="A72" s="3" t="s">
        <v>123</v>
      </c>
      <c r="B72" s="3" t="s">
        <v>124</v>
      </c>
      <c r="C72" s="7"/>
      <c r="D72" s="15">
        <v>62</v>
      </c>
      <c r="E72" s="14">
        <v>2</v>
      </c>
      <c r="F72" s="20">
        <f t="shared" si="1"/>
        <v>60</v>
      </c>
    </row>
    <row r="73" spans="1:6" ht="21">
      <c r="A73" s="3" t="s">
        <v>125</v>
      </c>
      <c r="B73" s="3" t="s">
        <v>126</v>
      </c>
      <c r="C73" s="7"/>
      <c r="D73" s="15">
        <v>44</v>
      </c>
      <c r="E73" s="14">
        <v>11</v>
      </c>
      <c r="F73" s="20">
        <f t="shared" si="1"/>
        <v>33</v>
      </c>
    </row>
    <row r="74" spans="1:6" ht="23.4">
      <c r="A74" s="25"/>
      <c r="B74" s="25" t="s">
        <v>356</v>
      </c>
      <c r="C74" s="21" t="s">
        <v>357</v>
      </c>
      <c r="D74" s="22">
        <f>SUM(D69:D73)</f>
        <v>150</v>
      </c>
      <c r="E74" s="23">
        <f>SUM(E69:E73)</f>
        <v>31</v>
      </c>
      <c r="F74" s="24">
        <f t="shared" si="1"/>
        <v>119</v>
      </c>
    </row>
    <row r="75" spans="1:6" ht="21">
      <c r="A75" s="3" t="s">
        <v>187</v>
      </c>
      <c r="B75" s="3" t="s">
        <v>188</v>
      </c>
      <c r="C75" s="7"/>
      <c r="D75" s="15">
        <v>54</v>
      </c>
      <c r="E75" s="14">
        <v>50</v>
      </c>
      <c r="F75" s="20">
        <f t="shared" si="1"/>
        <v>4</v>
      </c>
    </row>
    <row r="76" spans="1:6" ht="21">
      <c r="A76" s="3" t="s">
        <v>189</v>
      </c>
      <c r="B76" s="3" t="s">
        <v>190</v>
      </c>
      <c r="C76" s="7"/>
      <c r="D76" s="15">
        <v>65</v>
      </c>
      <c r="E76" s="14">
        <v>8</v>
      </c>
      <c r="F76" s="20">
        <f t="shared" si="1"/>
        <v>57</v>
      </c>
    </row>
    <row r="77" spans="1:6" ht="21">
      <c r="A77" s="3" t="s">
        <v>191</v>
      </c>
      <c r="B77" s="3" t="s">
        <v>192</v>
      </c>
      <c r="C77" s="7"/>
      <c r="D77" s="15">
        <v>11</v>
      </c>
      <c r="E77" s="14">
        <v>10</v>
      </c>
      <c r="F77" s="20">
        <f t="shared" si="1"/>
        <v>1</v>
      </c>
    </row>
    <row r="78" spans="1:6" ht="21">
      <c r="A78" s="3" t="s">
        <v>193</v>
      </c>
      <c r="B78" s="3" t="s">
        <v>194</v>
      </c>
      <c r="C78" s="7"/>
      <c r="D78" s="15">
        <v>11</v>
      </c>
      <c r="E78" s="14">
        <v>1</v>
      </c>
      <c r="F78" s="20">
        <f t="shared" si="1"/>
        <v>10</v>
      </c>
    </row>
    <row r="79" spans="1:6" ht="21">
      <c r="A79" s="3" t="s">
        <v>195</v>
      </c>
      <c r="B79" s="3" t="s">
        <v>196</v>
      </c>
      <c r="C79" s="7"/>
      <c r="D79" s="15">
        <v>52</v>
      </c>
      <c r="E79" s="14">
        <v>19</v>
      </c>
      <c r="F79" s="20">
        <f t="shared" si="1"/>
        <v>33</v>
      </c>
    </row>
    <row r="80" spans="1:6" ht="21">
      <c r="A80" s="3" t="s">
        <v>197</v>
      </c>
      <c r="B80" s="3" t="s">
        <v>198</v>
      </c>
      <c r="C80" s="7"/>
      <c r="D80" s="15">
        <v>52</v>
      </c>
      <c r="E80" s="14">
        <v>26</v>
      </c>
      <c r="F80" s="20">
        <f t="shared" si="1"/>
        <v>26</v>
      </c>
    </row>
    <row r="81" spans="1:6" ht="21">
      <c r="A81" s="3" t="s">
        <v>199</v>
      </c>
      <c r="B81" s="3" t="s">
        <v>200</v>
      </c>
      <c r="C81" s="7"/>
      <c r="D81" s="15">
        <v>62</v>
      </c>
      <c r="E81" s="14">
        <v>27</v>
      </c>
      <c r="F81" s="20">
        <f t="shared" si="1"/>
        <v>35</v>
      </c>
    </row>
    <row r="82" spans="1:6" ht="21">
      <c r="A82" s="3" t="s">
        <v>201</v>
      </c>
      <c r="B82" s="3" t="s">
        <v>202</v>
      </c>
      <c r="C82" s="7"/>
      <c r="D82" s="15">
        <v>44</v>
      </c>
      <c r="E82" s="14">
        <v>36</v>
      </c>
      <c r="F82" s="20">
        <f t="shared" si="1"/>
        <v>8</v>
      </c>
    </row>
    <row r="83" spans="1:6" ht="21">
      <c r="A83" s="3" t="s">
        <v>203</v>
      </c>
      <c r="B83" s="3" t="s">
        <v>204</v>
      </c>
      <c r="C83" s="7"/>
      <c r="D83" s="15">
        <v>96</v>
      </c>
      <c r="E83" s="14">
        <v>33</v>
      </c>
      <c r="F83" s="20">
        <f t="shared" si="1"/>
        <v>63</v>
      </c>
    </row>
    <row r="84" spans="1:6" ht="23.4">
      <c r="A84" s="25"/>
      <c r="B84" s="25" t="s">
        <v>358</v>
      </c>
      <c r="C84" s="21" t="s">
        <v>359</v>
      </c>
      <c r="D84" s="22">
        <f>SUM(D75:D83)</f>
        <v>447</v>
      </c>
      <c r="E84" s="23">
        <f>SUM(E75:E83)</f>
        <v>210</v>
      </c>
      <c r="F84" s="24">
        <f t="shared" si="1"/>
        <v>237</v>
      </c>
    </row>
    <row r="85" spans="1:6" ht="21">
      <c r="A85" s="3" t="s">
        <v>221</v>
      </c>
      <c r="B85" s="3" t="s">
        <v>222</v>
      </c>
      <c r="C85" s="7"/>
      <c r="D85" s="15">
        <v>55</v>
      </c>
      <c r="E85" s="14">
        <v>20</v>
      </c>
      <c r="F85" s="20">
        <f t="shared" si="1"/>
        <v>35</v>
      </c>
    </row>
    <row r="86" spans="1:6" ht="21">
      <c r="A86" s="3" t="s">
        <v>223</v>
      </c>
      <c r="B86" s="3" t="s">
        <v>224</v>
      </c>
      <c r="C86" s="7"/>
      <c r="D86" s="15">
        <v>1</v>
      </c>
      <c r="E86" s="14">
        <v>0</v>
      </c>
      <c r="F86" s="20">
        <f t="shared" si="1"/>
        <v>1</v>
      </c>
    </row>
    <row r="87" spans="1:6" ht="21">
      <c r="A87" s="3" t="s">
        <v>225</v>
      </c>
      <c r="B87" s="3" t="s">
        <v>226</v>
      </c>
      <c r="C87" s="7"/>
      <c r="D87" s="15">
        <v>6</v>
      </c>
      <c r="E87" s="14">
        <v>0</v>
      </c>
      <c r="F87" s="20">
        <f t="shared" si="1"/>
        <v>6</v>
      </c>
    </row>
    <row r="88" spans="1:6" ht="23.4">
      <c r="A88" s="25"/>
      <c r="B88" s="25" t="s">
        <v>360</v>
      </c>
      <c r="C88" s="21" t="s">
        <v>341</v>
      </c>
      <c r="D88" s="22">
        <f>SUM(D85:D87)</f>
        <v>62</v>
      </c>
      <c r="E88" s="23">
        <f>SUM(E85:E87)</f>
        <v>20</v>
      </c>
      <c r="F88" s="24">
        <f t="shared" si="1"/>
        <v>42</v>
      </c>
    </row>
    <row r="89" spans="1:6" ht="21">
      <c r="A89" s="3" t="s">
        <v>205</v>
      </c>
      <c r="B89" s="3" t="s">
        <v>206</v>
      </c>
      <c r="C89" s="7"/>
      <c r="D89" s="15">
        <v>60</v>
      </c>
      <c r="E89" s="14">
        <v>9</v>
      </c>
      <c r="F89" s="20">
        <f t="shared" si="1"/>
        <v>51</v>
      </c>
    </row>
    <row r="90" spans="1:6" ht="21">
      <c r="A90" s="3" t="s">
        <v>207</v>
      </c>
      <c r="B90" s="3" t="s">
        <v>208</v>
      </c>
      <c r="C90" s="7"/>
      <c r="D90" s="15">
        <v>65</v>
      </c>
      <c r="E90" s="14">
        <v>6</v>
      </c>
      <c r="F90" s="20">
        <f t="shared" si="1"/>
        <v>59</v>
      </c>
    </row>
    <row r="91" spans="1:6" ht="21">
      <c r="A91" s="3" t="s">
        <v>209</v>
      </c>
      <c r="B91" s="3" t="s">
        <v>210</v>
      </c>
      <c r="C91" s="7"/>
      <c r="D91" s="15">
        <v>60</v>
      </c>
      <c r="E91" s="14">
        <v>0</v>
      </c>
      <c r="F91" s="20">
        <f t="shared" si="1"/>
        <v>60</v>
      </c>
    </row>
    <row r="92" spans="1:6" ht="21">
      <c r="A92" s="3" t="s">
        <v>211</v>
      </c>
      <c r="B92" s="3" t="s">
        <v>212</v>
      </c>
      <c r="C92" s="7"/>
      <c r="D92" s="15">
        <v>65</v>
      </c>
      <c r="E92" s="14">
        <v>1</v>
      </c>
      <c r="F92" s="20">
        <f t="shared" si="1"/>
        <v>64</v>
      </c>
    </row>
    <row r="93" spans="1:6" ht="21">
      <c r="A93" s="3" t="s">
        <v>213</v>
      </c>
      <c r="B93" s="3" t="s">
        <v>214</v>
      </c>
      <c r="C93" s="7"/>
      <c r="D93" s="15">
        <v>55</v>
      </c>
      <c r="E93" s="14">
        <v>3</v>
      </c>
      <c r="F93" s="20">
        <f t="shared" si="1"/>
        <v>52</v>
      </c>
    </row>
    <row r="94" spans="1:6" ht="21">
      <c r="A94" s="3" t="s">
        <v>215</v>
      </c>
      <c r="B94" s="3" t="s">
        <v>216</v>
      </c>
      <c r="C94" s="7"/>
      <c r="D94" s="15">
        <v>60</v>
      </c>
      <c r="E94" s="14">
        <v>5</v>
      </c>
      <c r="F94" s="20">
        <f t="shared" si="1"/>
        <v>55</v>
      </c>
    </row>
    <row r="95" spans="1:6" ht="21">
      <c r="A95" s="3" t="s">
        <v>217</v>
      </c>
      <c r="B95" s="3" t="s">
        <v>218</v>
      </c>
      <c r="C95" s="7"/>
      <c r="D95" s="15">
        <v>60</v>
      </c>
      <c r="E95" s="14">
        <v>16</v>
      </c>
      <c r="F95" s="20">
        <f t="shared" si="1"/>
        <v>44</v>
      </c>
    </row>
    <row r="96" spans="1:6" ht="21">
      <c r="A96" s="3" t="s">
        <v>219</v>
      </c>
      <c r="B96" s="3" t="s">
        <v>220</v>
      </c>
      <c r="C96" s="7"/>
      <c r="D96" s="15">
        <v>45</v>
      </c>
      <c r="E96" s="14">
        <v>8</v>
      </c>
      <c r="F96" s="20">
        <f t="shared" si="1"/>
        <v>37</v>
      </c>
    </row>
    <row r="97" spans="1:6" ht="23.4">
      <c r="A97" s="25"/>
      <c r="B97" s="25" t="s">
        <v>361</v>
      </c>
      <c r="C97" s="21" t="s">
        <v>348</v>
      </c>
      <c r="D97" s="22">
        <f>SUM(D89:D96)</f>
        <v>470</v>
      </c>
      <c r="E97" s="23">
        <f>SUM(E89:E96)</f>
        <v>48</v>
      </c>
      <c r="F97" s="24">
        <f t="shared" si="1"/>
        <v>422</v>
      </c>
    </row>
    <row r="98" spans="1:6" ht="21">
      <c r="A98" s="3" t="s">
        <v>227</v>
      </c>
      <c r="B98" s="3" t="s">
        <v>228</v>
      </c>
      <c r="C98" s="7"/>
      <c r="D98" s="15">
        <v>90</v>
      </c>
      <c r="E98" s="14">
        <v>0</v>
      </c>
      <c r="F98" s="20">
        <f t="shared" si="1"/>
        <v>90</v>
      </c>
    </row>
    <row r="99" spans="1:6" ht="21">
      <c r="A99" s="3" t="s">
        <v>229</v>
      </c>
      <c r="B99" s="3" t="s">
        <v>230</v>
      </c>
      <c r="C99" s="7"/>
      <c r="D99" s="15">
        <v>42</v>
      </c>
      <c r="E99" s="14">
        <v>0</v>
      </c>
      <c r="F99" s="20">
        <f t="shared" si="1"/>
        <v>42</v>
      </c>
    </row>
    <row r="100" spans="1:6" ht="21">
      <c r="A100" s="3" t="s">
        <v>231</v>
      </c>
      <c r="B100" s="3" t="s">
        <v>232</v>
      </c>
      <c r="C100" s="7"/>
      <c r="D100" s="15">
        <v>80</v>
      </c>
      <c r="E100" s="14">
        <v>0</v>
      </c>
      <c r="F100" s="20">
        <f t="shared" si="1"/>
        <v>80</v>
      </c>
    </row>
    <row r="101" spans="1:6" ht="21">
      <c r="A101" s="3" t="s">
        <v>233</v>
      </c>
      <c r="B101" s="3" t="s">
        <v>234</v>
      </c>
      <c r="C101" s="7"/>
      <c r="D101" s="15">
        <v>65</v>
      </c>
      <c r="E101" s="14">
        <v>0</v>
      </c>
      <c r="F101" s="20">
        <f t="shared" si="1"/>
        <v>65</v>
      </c>
    </row>
    <row r="102" spans="1:6" ht="21">
      <c r="A102" s="3" t="s">
        <v>235</v>
      </c>
      <c r="B102" s="3" t="s">
        <v>236</v>
      </c>
      <c r="C102" s="7"/>
      <c r="D102" s="15">
        <v>60</v>
      </c>
      <c r="E102" s="14">
        <v>0</v>
      </c>
      <c r="F102" s="20">
        <f t="shared" si="1"/>
        <v>60</v>
      </c>
    </row>
    <row r="103" spans="1:6" ht="21">
      <c r="A103" s="3" t="s">
        <v>237</v>
      </c>
      <c r="B103" s="3" t="s">
        <v>238</v>
      </c>
      <c r="C103" s="7"/>
      <c r="D103" s="15">
        <v>70</v>
      </c>
      <c r="E103" s="14">
        <v>0</v>
      </c>
      <c r="F103" s="20">
        <f t="shared" si="1"/>
        <v>70</v>
      </c>
    </row>
    <row r="104" spans="1:6" ht="21">
      <c r="A104" s="3" t="s">
        <v>239</v>
      </c>
      <c r="B104" s="3" t="s">
        <v>240</v>
      </c>
      <c r="C104" s="7"/>
      <c r="D104" s="15">
        <v>80</v>
      </c>
      <c r="E104" s="14">
        <v>0</v>
      </c>
      <c r="F104" s="20">
        <f t="shared" si="1"/>
        <v>80</v>
      </c>
    </row>
    <row r="105" spans="1:6" ht="21">
      <c r="A105" s="3" t="s">
        <v>241</v>
      </c>
      <c r="B105" s="3" t="s">
        <v>242</v>
      </c>
      <c r="C105" s="7"/>
      <c r="D105" s="15">
        <v>70</v>
      </c>
      <c r="E105" s="14">
        <v>0</v>
      </c>
      <c r="F105" s="20">
        <f t="shared" si="1"/>
        <v>70</v>
      </c>
    </row>
    <row r="106" spans="1:6" ht="23.4">
      <c r="A106" s="25"/>
      <c r="B106" s="25" t="s">
        <v>362</v>
      </c>
      <c r="C106" s="21" t="s">
        <v>348</v>
      </c>
      <c r="D106" s="22">
        <f>SUM(D98:D105)</f>
        <v>557</v>
      </c>
      <c r="E106" s="23">
        <f>SUM(E98:E105)</f>
        <v>0</v>
      </c>
      <c r="F106" s="24">
        <f t="shared" si="1"/>
        <v>557</v>
      </c>
    </row>
    <row r="107" spans="1:6" ht="21">
      <c r="A107" s="3" t="s">
        <v>243</v>
      </c>
      <c r="B107" s="3" t="s">
        <v>244</v>
      </c>
      <c r="C107" s="7"/>
      <c r="D107" s="15">
        <v>33</v>
      </c>
      <c r="E107" s="14">
        <v>23</v>
      </c>
      <c r="F107" s="20">
        <f t="shared" si="1"/>
        <v>10</v>
      </c>
    </row>
    <row r="108" spans="1:6" ht="21">
      <c r="A108" s="3" t="s">
        <v>245</v>
      </c>
      <c r="B108" s="3" t="s">
        <v>246</v>
      </c>
      <c r="C108" s="7"/>
      <c r="D108" s="15">
        <v>24</v>
      </c>
      <c r="E108" s="14">
        <v>16</v>
      </c>
      <c r="F108" s="20">
        <f t="shared" si="1"/>
        <v>8</v>
      </c>
    </row>
    <row r="109" spans="1:6" ht="21">
      <c r="A109" s="3" t="s">
        <v>247</v>
      </c>
      <c r="B109" s="3" t="s">
        <v>248</v>
      </c>
      <c r="C109" s="7"/>
      <c r="D109" s="15">
        <v>23</v>
      </c>
      <c r="E109" s="14">
        <v>5</v>
      </c>
      <c r="F109" s="20">
        <f t="shared" si="1"/>
        <v>18</v>
      </c>
    </row>
    <row r="110" spans="1:6" ht="21">
      <c r="A110" s="3" t="s">
        <v>249</v>
      </c>
      <c r="B110" s="3" t="s">
        <v>250</v>
      </c>
      <c r="C110" s="7"/>
      <c r="D110" s="15">
        <v>27</v>
      </c>
      <c r="E110" s="14">
        <v>15</v>
      </c>
      <c r="F110" s="20">
        <f t="shared" si="1"/>
        <v>12</v>
      </c>
    </row>
    <row r="111" spans="1:6" ht="21">
      <c r="A111" s="3" t="s">
        <v>251</v>
      </c>
      <c r="B111" s="3" t="s">
        <v>252</v>
      </c>
      <c r="C111" s="7"/>
      <c r="D111" s="15">
        <v>30</v>
      </c>
      <c r="E111" s="14">
        <v>0</v>
      </c>
      <c r="F111" s="20">
        <f t="shared" si="1"/>
        <v>30</v>
      </c>
    </row>
    <row r="112" spans="1:6" ht="21">
      <c r="A112" s="3" t="s">
        <v>253</v>
      </c>
      <c r="B112" s="3" t="s">
        <v>254</v>
      </c>
      <c r="C112" s="7"/>
      <c r="D112" s="15">
        <v>13</v>
      </c>
      <c r="E112" s="14">
        <v>2</v>
      </c>
      <c r="F112" s="20">
        <f t="shared" si="1"/>
        <v>11</v>
      </c>
    </row>
    <row r="113" spans="1:6" ht="21">
      <c r="A113" s="3" t="s">
        <v>255</v>
      </c>
      <c r="B113" s="3" t="s">
        <v>256</v>
      </c>
      <c r="C113" s="7"/>
      <c r="D113" s="15">
        <v>11</v>
      </c>
      <c r="E113" s="14">
        <v>5</v>
      </c>
      <c r="F113" s="20">
        <f t="shared" si="1"/>
        <v>6</v>
      </c>
    </row>
    <row r="114" spans="1:6" ht="21">
      <c r="A114" s="3" t="s">
        <v>257</v>
      </c>
      <c r="B114" s="3" t="s">
        <v>258</v>
      </c>
      <c r="C114" s="7"/>
      <c r="D114" s="15">
        <v>96</v>
      </c>
      <c r="E114" s="14">
        <v>34</v>
      </c>
      <c r="F114" s="20">
        <f t="shared" si="1"/>
        <v>62</v>
      </c>
    </row>
    <row r="115" spans="1:6" ht="23.4">
      <c r="A115" s="25"/>
      <c r="B115" s="25" t="s">
        <v>363</v>
      </c>
      <c r="C115" s="21" t="s">
        <v>348</v>
      </c>
      <c r="D115" s="22">
        <f>SUM(D107:D114)</f>
        <v>257</v>
      </c>
      <c r="E115" s="23">
        <f>SUM(E107:E114)</f>
        <v>100</v>
      </c>
      <c r="F115" s="24">
        <f t="shared" si="1"/>
        <v>157</v>
      </c>
    </row>
    <row r="116" spans="1:6" ht="21">
      <c r="A116" s="3" t="s">
        <v>259</v>
      </c>
      <c r="B116" s="3" t="s">
        <v>260</v>
      </c>
      <c r="C116" s="7"/>
      <c r="D116" s="15">
        <v>28</v>
      </c>
      <c r="E116" s="14">
        <v>15</v>
      </c>
      <c r="F116" s="20">
        <f t="shared" si="1"/>
        <v>13</v>
      </c>
    </row>
    <row r="117" spans="1:6" ht="21">
      <c r="A117" s="3" t="s">
        <v>261</v>
      </c>
      <c r="B117" s="3" t="s">
        <v>262</v>
      </c>
      <c r="C117" s="7"/>
      <c r="D117" s="15">
        <v>26</v>
      </c>
      <c r="E117" s="14">
        <v>13</v>
      </c>
      <c r="F117" s="20">
        <f t="shared" si="1"/>
        <v>13</v>
      </c>
    </row>
    <row r="118" spans="1:6" ht="21">
      <c r="A118" s="3" t="s">
        <v>263</v>
      </c>
      <c r="B118" s="3" t="s">
        <v>264</v>
      </c>
      <c r="C118" s="7"/>
      <c r="D118" s="15">
        <v>26</v>
      </c>
      <c r="E118" s="14">
        <v>14</v>
      </c>
      <c r="F118" s="20">
        <f t="shared" si="1"/>
        <v>12</v>
      </c>
    </row>
    <row r="119" spans="1:6" ht="21">
      <c r="A119" s="3" t="s">
        <v>265</v>
      </c>
      <c r="B119" s="3" t="s">
        <v>266</v>
      </c>
      <c r="C119" s="7"/>
      <c r="D119" s="15">
        <v>24</v>
      </c>
      <c r="E119" s="14">
        <v>13</v>
      </c>
      <c r="F119" s="20">
        <f t="shared" si="1"/>
        <v>11</v>
      </c>
    </row>
    <row r="120" spans="1:6" ht="21">
      <c r="A120" s="3" t="s">
        <v>267</v>
      </c>
      <c r="B120" s="3" t="s">
        <v>268</v>
      </c>
      <c r="C120" s="7"/>
      <c r="D120" s="15">
        <v>17</v>
      </c>
      <c r="E120" s="14">
        <v>7</v>
      </c>
      <c r="F120" s="20">
        <f t="shared" si="1"/>
        <v>10</v>
      </c>
    </row>
    <row r="121" spans="1:6" ht="21">
      <c r="A121" s="3" t="s">
        <v>269</v>
      </c>
      <c r="B121" s="3" t="s">
        <v>270</v>
      </c>
      <c r="C121" s="7"/>
      <c r="D121" s="15">
        <v>17</v>
      </c>
      <c r="E121" s="14">
        <v>7</v>
      </c>
      <c r="F121" s="20">
        <f t="shared" si="1"/>
        <v>10</v>
      </c>
    </row>
    <row r="122" spans="1:6" ht="21">
      <c r="A122" s="3" t="s">
        <v>271</v>
      </c>
      <c r="B122" s="3" t="s">
        <v>272</v>
      </c>
      <c r="C122" s="7"/>
      <c r="D122" s="15">
        <v>19</v>
      </c>
      <c r="E122" s="14">
        <v>9</v>
      </c>
      <c r="F122" s="20">
        <f t="shared" si="1"/>
        <v>10</v>
      </c>
    </row>
    <row r="123" spans="1:6" ht="21">
      <c r="A123" s="3" t="s">
        <v>273</v>
      </c>
      <c r="B123" s="3" t="s">
        <v>274</v>
      </c>
      <c r="C123" s="7"/>
      <c r="D123" s="15">
        <v>19</v>
      </c>
      <c r="E123" s="14">
        <v>9</v>
      </c>
      <c r="F123" s="20">
        <f t="shared" si="1"/>
        <v>10</v>
      </c>
    </row>
    <row r="124" spans="1:6" ht="21">
      <c r="A124" s="3" t="s">
        <v>275</v>
      </c>
      <c r="B124" s="3" t="s">
        <v>276</v>
      </c>
      <c r="C124" s="7"/>
      <c r="D124" s="15">
        <v>30</v>
      </c>
      <c r="E124" s="14">
        <v>5</v>
      </c>
      <c r="F124" s="20">
        <f t="shared" si="1"/>
        <v>25</v>
      </c>
    </row>
    <row r="125" spans="1:6" ht="21">
      <c r="A125" s="3" t="s">
        <v>277</v>
      </c>
      <c r="B125" s="3" t="s">
        <v>278</v>
      </c>
      <c r="C125" s="7"/>
      <c r="D125" s="15">
        <v>20</v>
      </c>
      <c r="E125" s="14">
        <v>5</v>
      </c>
      <c r="F125" s="20">
        <f t="shared" si="1"/>
        <v>15</v>
      </c>
    </row>
    <row r="126" spans="1:6" ht="23.4">
      <c r="A126" s="25"/>
      <c r="B126" s="25" t="s">
        <v>364</v>
      </c>
      <c r="C126" s="21" t="s">
        <v>357</v>
      </c>
      <c r="D126" s="22">
        <f>SUM(D116:D125)</f>
        <v>226</v>
      </c>
      <c r="E126" s="23">
        <f>SUM(E116:E125)</f>
        <v>97</v>
      </c>
      <c r="F126" s="24">
        <f t="shared" si="1"/>
        <v>129</v>
      </c>
    </row>
    <row r="127" spans="1:6" ht="21">
      <c r="A127" s="3" t="s">
        <v>279</v>
      </c>
      <c r="B127" s="3" t="s">
        <v>280</v>
      </c>
      <c r="C127" s="7"/>
      <c r="D127" s="15">
        <v>57</v>
      </c>
      <c r="E127" s="14">
        <v>8</v>
      </c>
      <c r="F127" s="20">
        <f t="shared" si="1"/>
        <v>49</v>
      </c>
    </row>
    <row r="128" spans="1:6" ht="21">
      <c r="A128" s="3" t="s">
        <v>281</v>
      </c>
      <c r="B128" s="3" t="s">
        <v>282</v>
      </c>
      <c r="C128" s="7"/>
      <c r="D128" s="15">
        <v>59</v>
      </c>
      <c r="E128" s="14">
        <v>29</v>
      </c>
      <c r="F128" s="20">
        <f t="shared" si="1"/>
        <v>30</v>
      </c>
    </row>
    <row r="129" spans="1:6" ht="21">
      <c r="A129" s="3" t="s">
        <v>283</v>
      </c>
      <c r="B129" s="3" t="s">
        <v>284</v>
      </c>
      <c r="C129" s="7"/>
      <c r="D129" s="15">
        <v>28</v>
      </c>
      <c r="E129" s="14">
        <v>23</v>
      </c>
      <c r="F129" s="20">
        <f t="shared" si="1"/>
        <v>5</v>
      </c>
    </row>
    <row r="130" spans="1:6" ht="21">
      <c r="A130" s="3" t="s">
        <v>285</v>
      </c>
      <c r="B130" s="3" t="s">
        <v>286</v>
      </c>
      <c r="C130" s="7"/>
      <c r="D130" s="15">
        <v>25</v>
      </c>
      <c r="E130" s="14">
        <v>2</v>
      </c>
      <c r="F130" s="20">
        <f t="shared" si="1"/>
        <v>23</v>
      </c>
    </row>
    <row r="131" spans="1:6" ht="21">
      <c r="A131" s="3" t="s">
        <v>287</v>
      </c>
      <c r="B131" s="3" t="s">
        <v>288</v>
      </c>
      <c r="C131" s="7"/>
      <c r="D131" s="15">
        <v>63</v>
      </c>
      <c r="E131" s="14">
        <v>38</v>
      </c>
      <c r="F131" s="20">
        <f t="shared" ref="F131:F152" si="2">D131-E131</f>
        <v>25</v>
      </c>
    </row>
    <row r="132" spans="1:6" ht="21">
      <c r="A132" s="3" t="s">
        <v>289</v>
      </c>
      <c r="B132" s="3" t="s">
        <v>290</v>
      </c>
      <c r="C132" s="7"/>
      <c r="D132" s="15">
        <v>64</v>
      </c>
      <c r="E132" s="14">
        <v>33</v>
      </c>
      <c r="F132" s="20">
        <f t="shared" si="2"/>
        <v>31</v>
      </c>
    </row>
    <row r="133" spans="1:6" ht="21">
      <c r="A133" s="3" t="s">
        <v>291</v>
      </c>
      <c r="B133" s="3" t="s">
        <v>292</v>
      </c>
      <c r="C133" s="7"/>
      <c r="D133" s="15">
        <v>49</v>
      </c>
      <c r="E133" s="14">
        <v>31</v>
      </c>
      <c r="F133" s="20">
        <f t="shared" si="2"/>
        <v>18</v>
      </c>
    </row>
    <row r="134" spans="1:6" ht="21">
      <c r="A134" s="3" t="s">
        <v>293</v>
      </c>
      <c r="B134" s="3" t="s">
        <v>294</v>
      </c>
      <c r="C134" s="7"/>
      <c r="D134" s="15">
        <v>22</v>
      </c>
      <c r="E134" s="14">
        <v>3</v>
      </c>
      <c r="F134" s="20">
        <f t="shared" si="2"/>
        <v>19</v>
      </c>
    </row>
    <row r="135" spans="1:6" ht="21">
      <c r="A135" s="3" t="s">
        <v>295</v>
      </c>
      <c r="B135" s="3" t="s">
        <v>296</v>
      </c>
      <c r="C135" s="7"/>
      <c r="D135" s="15">
        <v>51</v>
      </c>
      <c r="E135" s="14">
        <v>3</v>
      </c>
      <c r="F135" s="20">
        <f t="shared" si="2"/>
        <v>48</v>
      </c>
    </row>
    <row r="136" spans="1:6" ht="21">
      <c r="A136" s="3" t="s">
        <v>297</v>
      </c>
      <c r="B136" s="3" t="s">
        <v>298</v>
      </c>
      <c r="C136" s="7"/>
      <c r="D136" s="15">
        <v>20</v>
      </c>
      <c r="E136" s="14">
        <v>0</v>
      </c>
      <c r="F136" s="20">
        <f t="shared" si="2"/>
        <v>20</v>
      </c>
    </row>
    <row r="137" spans="1:6" ht="21">
      <c r="A137" s="3" t="s">
        <v>299</v>
      </c>
      <c r="B137" s="3" t="s">
        <v>300</v>
      </c>
      <c r="C137" s="7"/>
      <c r="D137" s="15">
        <v>22</v>
      </c>
      <c r="E137" s="14">
        <v>4</v>
      </c>
      <c r="F137" s="20">
        <f t="shared" si="2"/>
        <v>18</v>
      </c>
    </row>
    <row r="138" spans="1:6" ht="23.4">
      <c r="A138" s="25"/>
      <c r="B138" s="25" t="s">
        <v>365</v>
      </c>
      <c r="C138" s="21" t="s">
        <v>348</v>
      </c>
      <c r="D138" s="22">
        <f>SUM(D127:D137)</f>
        <v>460</v>
      </c>
      <c r="E138" s="23">
        <f>SUM(E127:E137)</f>
        <v>174</v>
      </c>
      <c r="F138" s="24">
        <f t="shared" si="2"/>
        <v>286</v>
      </c>
    </row>
    <row r="139" spans="1:6" ht="21">
      <c r="A139" s="3" t="s">
        <v>301</v>
      </c>
      <c r="B139" s="3" t="s">
        <v>302</v>
      </c>
      <c r="C139" s="7"/>
      <c r="D139" s="15">
        <v>84</v>
      </c>
      <c r="E139" s="15">
        <v>81</v>
      </c>
      <c r="F139" s="20">
        <f t="shared" si="2"/>
        <v>3</v>
      </c>
    </row>
    <row r="140" spans="1:6" ht="21">
      <c r="A140" s="3" t="s">
        <v>303</v>
      </c>
      <c r="B140" s="3" t="s">
        <v>304</v>
      </c>
      <c r="C140" s="7"/>
      <c r="D140" s="15">
        <v>56</v>
      </c>
      <c r="E140" s="15">
        <v>8</v>
      </c>
      <c r="F140" s="20">
        <f t="shared" si="2"/>
        <v>48</v>
      </c>
    </row>
    <row r="141" spans="1:6" ht="21">
      <c r="A141" s="3" t="s">
        <v>305</v>
      </c>
      <c r="B141" s="3" t="s">
        <v>306</v>
      </c>
      <c r="C141" s="7"/>
      <c r="D141" s="15">
        <v>73</v>
      </c>
      <c r="E141" s="15">
        <v>25</v>
      </c>
      <c r="F141" s="20">
        <f t="shared" si="2"/>
        <v>48</v>
      </c>
    </row>
    <row r="142" spans="1:6" ht="21">
      <c r="A142" s="3" t="s">
        <v>307</v>
      </c>
      <c r="B142" s="3" t="s">
        <v>308</v>
      </c>
      <c r="C142" s="7"/>
      <c r="D142" s="15">
        <v>67</v>
      </c>
      <c r="E142" s="15">
        <v>25</v>
      </c>
      <c r="F142" s="20">
        <f t="shared" si="2"/>
        <v>42</v>
      </c>
    </row>
    <row r="143" spans="1:6" ht="21">
      <c r="A143" s="3" t="s">
        <v>309</v>
      </c>
      <c r="B143" s="3" t="s">
        <v>310</v>
      </c>
      <c r="C143" s="7"/>
      <c r="D143" s="15">
        <v>23</v>
      </c>
      <c r="E143" s="15">
        <v>8</v>
      </c>
      <c r="F143" s="20">
        <f t="shared" si="2"/>
        <v>15</v>
      </c>
    </row>
    <row r="144" spans="1:6" ht="21">
      <c r="A144" s="3" t="s">
        <v>311</v>
      </c>
      <c r="B144" s="3" t="s">
        <v>312</v>
      </c>
      <c r="C144" s="7"/>
      <c r="D144" s="15">
        <v>64</v>
      </c>
      <c r="E144" s="15">
        <v>35</v>
      </c>
      <c r="F144" s="20">
        <f t="shared" si="2"/>
        <v>29</v>
      </c>
    </row>
    <row r="145" spans="1:6" ht="21">
      <c r="A145" s="3" t="s">
        <v>313</v>
      </c>
      <c r="B145" s="3" t="s">
        <v>314</v>
      </c>
      <c r="C145" s="7"/>
      <c r="D145" s="15">
        <v>50</v>
      </c>
      <c r="E145" s="15">
        <v>6</v>
      </c>
      <c r="F145" s="20">
        <f t="shared" si="2"/>
        <v>44</v>
      </c>
    </row>
    <row r="146" spans="1:6" ht="23.4">
      <c r="A146" s="25"/>
      <c r="B146" s="25" t="s">
        <v>366</v>
      </c>
      <c r="C146" s="21" t="s">
        <v>367</v>
      </c>
      <c r="D146" s="22">
        <f>SUM(D139:D145)</f>
        <v>417</v>
      </c>
      <c r="E146" s="23">
        <f>SUM(E139:E145)</f>
        <v>188</v>
      </c>
      <c r="F146" s="24">
        <f t="shared" si="2"/>
        <v>229</v>
      </c>
    </row>
    <row r="147" spans="1:6" ht="21">
      <c r="A147" s="3" t="s">
        <v>315</v>
      </c>
      <c r="B147" s="3" t="s">
        <v>316</v>
      </c>
      <c r="C147" s="7"/>
      <c r="D147" s="15">
        <v>23</v>
      </c>
      <c r="E147" s="15">
        <v>5</v>
      </c>
      <c r="F147" s="20">
        <f t="shared" si="2"/>
        <v>18</v>
      </c>
    </row>
    <row r="148" spans="1:6" ht="21">
      <c r="A148" s="3" t="s">
        <v>317</v>
      </c>
      <c r="B148" s="3" t="s">
        <v>318</v>
      </c>
      <c r="C148" s="7"/>
      <c r="D148" s="15">
        <v>57</v>
      </c>
      <c r="E148" s="15">
        <v>7</v>
      </c>
      <c r="F148" s="20">
        <f t="shared" si="2"/>
        <v>50</v>
      </c>
    </row>
    <row r="149" spans="1:6" ht="21">
      <c r="A149" s="3" t="s">
        <v>321</v>
      </c>
      <c r="B149" s="3" t="s">
        <v>322</v>
      </c>
      <c r="C149" s="7"/>
      <c r="D149" s="15">
        <v>79</v>
      </c>
      <c r="E149" s="15">
        <v>78</v>
      </c>
      <c r="F149" s="20">
        <f t="shared" si="2"/>
        <v>1</v>
      </c>
    </row>
    <row r="150" spans="1:6" ht="21">
      <c r="A150" s="3" t="s">
        <v>331</v>
      </c>
      <c r="B150" s="3" t="s">
        <v>332</v>
      </c>
      <c r="C150" s="7"/>
      <c r="D150" s="15">
        <v>67</v>
      </c>
      <c r="E150" s="15">
        <v>8</v>
      </c>
      <c r="F150" s="20">
        <f t="shared" si="2"/>
        <v>59</v>
      </c>
    </row>
    <row r="151" spans="1:6" ht="21">
      <c r="A151" s="3" t="s">
        <v>333</v>
      </c>
      <c r="B151" s="3" t="s">
        <v>334</v>
      </c>
      <c r="C151" s="7"/>
      <c r="D151" s="15">
        <v>51</v>
      </c>
      <c r="E151" s="15">
        <v>38</v>
      </c>
      <c r="F151" s="20">
        <f t="shared" si="2"/>
        <v>13</v>
      </c>
    </row>
    <row r="152" spans="1:6" ht="23.4">
      <c r="A152" s="25"/>
      <c r="B152" s="25" t="s">
        <v>368</v>
      </c>
      <c r="C152" s="21" t="s">
        <v>369</v>
      </c>
      <c r="D152" s="22">
        <f>SUM(D147:D151)</f>
        <v>277</v>
      </c>
      <c r="E152" s="23">
        <f>SUM(E147:E151)</f>
        <v>136</v>
      </c>
      <c r="F152" s="24">
        <f t="shared" si="2"/>
        <v>141</v>
      </c>
    </row>
    <row r="153" spans="1:6" ht="18">
      <c r="C153" s="58" t="s">
        <v>409</v>
      </c>
      <c r="D153" s="57">
        <f>SUM(D152,D146,D138,D126,D115,D106,D97,D88,D84,D74,D68,D64,D59,D55,D51,D47,D38,D23,D15,D10,D5)</f>
        <v>6111</v>
      </c>
      <c r="E153" s="57">
        <f t="shared" ref="E153:F153" si="3">SUM(E152,E146,E138,E126,E115,E106,E97,E88,E84,E74,E68,E64,E59,E55,E51,E47,E38,E23,E15,E10,E5)</f>
        <v>1581</v>
      </c>
      <c r="F153" s="57">
        <f t="shared" si="3"/>
        <v>4530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E6" sqref="E6"/>
    </sheetView>
  </sheetViews>
  <sheetFormatPr defaultColWidth="8.88671875" defaultRowHeight="14.4"/>
  <cols>
    <col min="1" max="1" width="9.6640625" style="5" bestFit="1" customWidth="1"/>
    <col min="2" max="2" width="34.44140625" style="5" bestFit="1" customWidth="1"/>
    <col min="3" max="3" width="32.109375" style="8" customWidth="1"/>
    <col min="4" max="4" width="5" style="5" bestFit="1" customWidth="1"/>
    <col min="5" max="16384" width="8.88671875" style="5"/>
  </cols>
  <sheetData>
    <row r="1" spans="1:6" ht="29.4" thickBot="1">
      <c r="A1" s="26" t="s">
        <v>0</v>
      </c>
      <c r="B1" s="26" t="s">
        <v>1</v>
      </c>
      <c r="C1" s="27"/>
      <c r="D1" s="26" t="s">
        <v>2</v>
      </c>
      <c r="E1" s="28" t="s">
        <v>381</v>
      </c>
      <c r="F1" s="28" t="s">
        <v>338</v>
      </c>
    </row>
    <row r="2" spans="1:6">
      <c r="A2" s="29" t="s">
        <v>382</v>
      </c>
      <c r="B2" s="30" t="s">
        <v>383</v>
      </c>
      <c r="C2" s="31"/>
      <c r="D2" s="32">
        <v>50</v>
      </c>
      <c r="E2" s="33">
        <v>0</v>
      </c>
      <c r="F2" s="33">
        <f>D2-E2</f>
        <v>50</v>
      </c>
    </row>
    <row r="3" spans="1:6">
      <c r="A3" s="34" t="s">
        <v>384</v>
      </c>
      <c r="B3" s="35" t="s">
        <v>385</v>
      </c>
      <c r="C3" s="36"/>
      <c r="D3" s="37">
        <v>63</v>
      </c>
      <c r="E3" s="38">
        <v>3</v>
      </c>
      <c r="F3" s="33">
        <f t="shared" ref="F3:F11" si="0">D3-E3</f>
        <v>60</v>
      </c>
    </row>
    <row r="4" spans="1:6">
      <c r="A4" s="34" t="s">
        <v>386</v>
      </c>
      <c r="B4" s="35" t="s">
        <v>387</v>
      </c>
      <c r="C4" s="36"/>
      <c r="D4" s="37">
        <v>55</v>
      </c>
      <c r="E4" s="38">
        <v>6</v>
      </c>
      <c r="F4" s="33">
        <f t="shared" si="0"/>
        <v>49</v>
      </c>
    </row>
    <row r="5" spans="1:6">
      <c r="A5" s="34" t="s">
        <v>388</v>
      </c>
      <c r="B5" s="35" t="s">
        <v>389</v>
      </c>
      <c r="C5" s="36"/>
      <c r="D5" s="37">
        <v>14</v>
      </c>
      <c r="E5" s="38">
        <v>0</v>
      </c>
      <c r="F5" s="33">
        <f t="shared" si="0"/>
        <v>14</v>
      </c>
    </row>
    <row r="6" spans="1:6">
      <c r="A6" s="34" t="s">
        <v>390</v>
      </c>
      <c r="B6" s="35" t="s">
        <v>391</v>
      </c>
      <c r="C6" s="36"/>
      <c r="D6" s="37">
        <v>13</v>
      </c>
      <c r="E6" s="38">
        <v>1</v>
      </c>
      <c r="F6" s="33">
        <f t="shared" si="0"/>
        <v>12</v>
      </c>
    </row>
    <row r="7" spans="1:6">
      <c r="A7" s="34" t="s">
        <v>392</v>
      </c>
      <c r="B7" s="35" t="s">
        <v>393</v>
      </c>
      <c r="C7" s="36"/>
      <c r="D7" s="37">
        <v>14</v>
      </c>
      <c r="E7" s="38">
        <v>3</v>
      </c>
      <c r="F7" s="33">
        <f t="shared" si="0"/>
        <v>11</v>
      </c>
    </row>
    <row r="8" spans="1:6">
      <c r="A8" s="34" t="s">
        <v>394</v>
      </c>
      <c r="B8" s="35" t="s">
        <v>395</v>
      </c>
      <c r="C8" s="36"/>
      <c r="D8" s="37">
        <v>14</v>
      </c>
      <c r="E8" s="38">
        <v>2</v>
      </c>
      <c r="F8" s="33">
        <f t="shared" si="0"/>
        <v>12</v>
      </c>
    </row>
    <row r="9" spans="1:6">
      <c r="A9" s="34" t="s">
        <v>396</v>
      </c>
      <c r="B9" s="35" t="s">
        <v>397</v>
      </c>
      <c r="C9" s="36"/>
      <c r="D9" s="37">
        <v>12</v>
      </c>
      <c r="E9" s="38">
        <v>1</v>
      </c>
      <c r="F9" s="33">
        <f t="shared" si="0"/>
        <v>11</v>
      </c>
    </row>
    <row r="10" spans="1:6">
      <c r="A10" s="39" t="s">
        <v>398</v>
      </c>
      <c r="B10" s="40" t="s">
        <v>379</v>
      </c>
      <c r="C10" s="41"/>
      <c r="D10" s="42">
        <v>95</v>
      </c>
      <c r="E10" s="38">
        <v>30</v>
      </c>
      <c r="F10" s="33">
        <f t="shared" si="0"/>
        <v>65</v>
      </c>
    </row>
    <row r="11" spans="1:6" ht="18">
      <c r="A11" s="43"/>
      <c r="B11" s="43" t="s">
        <v>379</v>
      </c>
      <c r="C11" s="44" t="s">
        <v>359</v>
      </c>
      <c r="D11" s="43">
        <f>SUM(D2:D10)</f>
        <v>330</v>
      </c>
      <c r="E11" s="43">
        <f>SUM(E2:E10)</f>
        <v>46</v>
      </c>
      <c r="F11" s="43">
        <f t="shared" si="0"/>
        <v>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7"/>
  <sheetViews>
    <sheetView topLeftCell="A142" workbookViewId="0">
      <selection activeCell="F166" sqref="F166"/>
    </sheetView>
  </sheetViews>
  <sheetFormatPr defaultRowHeight="14.4"/>
  <cols>
    <col min="1" max="1" width="9.6640625" bestFit="1" customWidth="1"/>
    <col min="2" max="2" width="42.88671875" customWidth="1"/>
    <col min="3" max="3" width="6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49</v>
      </c>
    </row>
    <row r="3" spans="1:3">
      <c r="A3" s="2" t="s">
        <v>5</v>
      </c>
      <c r="B3" s="2" t="s">
        <v>6</v>
      </c>
      <c r="C3" s="2">
        <v>66</v>
      </c>
    </row>
    <row r="4" spans="1:3">
      <c r="A4" s="2" t="s">
        <v>7</v>
      </c>
      <c r="B4" s="2" t="s">
        <v>8</v>
      </c>
      <c r="C4" s="2">
        <v>15</v>
      </c>
    </row>
    <row r="5" spans="1:3">
      <c r="A5" s="2" t="s">
        <v>9</v>
      </c>
      <c r="B5" s="2" t="s">
        <v>10</v>
      </c>
      <c r="C5" s="2">
        <v>15</v>
      </c>
    </row>
    <row r="6" spans="1:3">
      <c r="A6" s="2" t="s">
        <v>11</v>
      </c>
      <c r="B6" s="2" t="s">
        <v>12</v>
      </c>
      <c r="C6" s="2">
        <v>53</v>
      </c>
    </row>
    <row r="7" spans="1:3">
      <c r="A7" s="2" t="s">
        <v>13</v>
      </c>
      <c r="B7" s="2" t="s">
        <v>14</v>
      </c>
      <c r="C7" s="2">
        <v>36</v>
      </c>
    </row>
    <row r="8" spans="1:3">
      <c r="A8" s="2" t="s">
        <v>15</v>
      </c>
      <c r="B8" s="2" t="s">
        <v>16</v>
      </c>
      <c r="C8" s="2">
        <v>32</v>
      </c>
    </row>
    <row r="9" spans="1:3">
      <c r="A9" s="2" t="s">
        <v>17</v>
      </c>
      <c r="B9" s="2" t="s">
        <v>18</v>
      </c>
      <c r="C9" s="2">
        <v>54</v>
      </c>
    </row>
    <row r="10" spans="1:3">
      <c r="A10" s="2" t="s">
        <v>19</v>
      </c>
      <c r="B10" s="2" t="s">
        <v>20</v>
      </c>
      <c r="C10" s="2">
        <v>30</v>
      </c>
    </row>
    <row r="11" spans="1:3">
      <c r="A11" s="2" t="s">
        <v>21</v>
      </c>
      <c r="B11" s="2" t="s">
        <v>22</v>
      </c>
      <c r="C11" s="2">
        <v>85</v>
      </c>
    </row>
    <row r="12" spans="1:3">
      <c r="A12" s="2" t="s">
        <v>23</v>
      </c>
      <c r="B12" s="2" t="s">
        <v>24</v>
      </c>
      <c r="C12" s="2">
        <v>40</v>
      </c>
    </row>
    <row r="13" spans="1:3">
      <c r="A13" s="2" t="s">
        <v>25</v>
      </c>
      <c r="B13" s="2" t="s">
        <v>26</v>
      </c>
      <c r="C13" s="2">
        <v>62</v>
      </c>
    </row>
    <row r="14" spans="1:3">
      <c r="A14" s="2" t="s">
        <v>27</v>
      </c>
      <c r="B14" s="2" t="s">
        <v>28</v>
      </c>
      <c r="C14" s="2">
        <v>44</v>
      </c>
    </row>
    <row r="15" spans="1:3">
      <c r="A15" s="2" t="s">
        <v>29</v>
      </c>
      <c r="B15" s="2" t="s">
        <v>30</v>
      </c>
      <c r="C15" s="2">
        <v>14</v>
      </c>
    </row>
    <row r="16" spans="1:3">
      <c r="A16" s="2" t="s">
        <v>31</v>
      </c>
      <c r="B16" s="2" t="s">
        <v>32</v>
      </c>
      <c r="C16" s="2">
        <v>15</v>
      </c>
    </row>
    <row r="17" spans="1:3">
      <c r="A17" s="2" t="s">
        <v>33</v>
      </c>
      <c r="B17" s="2" t="s">
        <v>34</v>
      </c>
      <c r="C17" s="2">
        <v>24</v>
      </c>
    </row>
    <row r="18" spans="1:3">
      <c r="A18" s="2" t="s">
        <v>35</v>
      </c>
      <c r="B18" s="2" t="s">
        <v>36</v>
      </c>
      <c r="C18" s="2">
        <v>74</v>
      </c>
    </row>
    <row r="19" spans="1:3">
      <c r="A19" s="2" t="s">
        <v>37</v>
      </c>
      <c r="B19" s="2" t="s">
        <v>38</v>
      </c>
      <c r="C19" s="2">
        <v>30</v>
      </c>
    </row>
    <row r="20" spans="1:3">
      <c r="A20" s="2" t="s">
        <v>39</v>
      </c>
      <c r="B20" s="2" t="s">
        <v>40</v>
      </c>
      <c r="C20" s="2">
        <v>16</v>
      </c>
    </row>
    <row r="21" spans="1:3">
      <c r="A21" s="2" t="s">
        <v>41</v>
      </c>
      <c r="B21" s="2" t="s">
        <v>42</v>
      </c>
      <c r="C21" s="2">
        <v>43</v>
      </c>
    </row>
    <row r="22" spans="1:3">
      <c r="A22" s="2" t="s">
        <v>43</v>
      </c>
      <c r="B22" s="2" t="s">
        <v>44</v>
      </c>
      <c r="C22" s="2">
        <v>62</v>
      </c>
    </row>
    <row r="23" spans="1:3">
      <c r="A23" s="2" t="s">
        <v>45</v>
      </c>
      <c r="B23" s="2" t="s">
        <v>46</v>
      </c>
      <c r="C23" s="2">
        <v>79</v>
      </c>
    </row>
    <row r="24" spans="1:3">
      <c r="A24" s="2" t="s">
        <v>47</v>
      </c>
      <c r="B24" s="2" t="s">
        <v>48</v>
      </c>
      <c r="C24" s="2">
        <v>74</v>
      </c>
    </row>
    <row r="25" spans="1:3">
      <c r="A25" s="2" t="s">
        <v>49</v>
      </c>
      <c r="B25" s="2" t="s">
        <v>50</v>
      </c>
      <c r="C25" s="2">
        <v>71</v>
      </c>
    </row>
    <row r="26" spans="1:3">
      <c r="A26" s="2" t="s">
        <v>51</v>
      </c>
      <c r="B26" s="2" t="s">
        <v>52</v>
      </c>
      <c r="C26" s="2">
        <v>43</v>
      </c>
    </row>
    <row r="27" spans="1:3">
      <c r="A27" s="2" t="s">
        <v>53</v>
      </c>
      <c r="B27" s="2" t="s">
        <v>54</v>
      </c>
      <c r="C27" s="2">
        <v>64</v>
      </c>
    </row>
    <row r="28" spans="1:3">
      <c r="A28" s="2" t="s">
        <v>55</v>
      </c>
      <c r="B28" s="2" t="s">
        <v>56</v>
      </c>
      <c r="C28" s="2">
        <v>27</v>
      </c>
    </row>
    <row r="29" spans="1:3">
      <c r="A29" s="2" t="s">
        <v>57</v>
      </c>
      <c r="B29" s="2" t="s">
        <v>58</v>
      </c>
      <c r="C29" s="2">
        <v>88</v>
      </c>
    </row>
    <row r="30" spans="1:3">
      <c r="A30" s="2" t="s">
        <v>59</v>
      </c>
      <c r="B30" s="2" t="s">
        <v>60</v>
      </c>
      <c r="C30" s="2">
        <v>88</v>
      </c>
    </row>
    <row r="31" spans="1:3">
      <c r="A31" s="2" t="s">
        <v>61</v>
      </c>
      <c r="B31" s="2" t="s">
        <v>62</v>
      </c>
      <c r="C31" s="2">
        <v>36</v>
      </c>
    </row>
    <row r="32" spans="1:3">
      <c r="A32" s="2" t="s">
        <v>63</v>
      </c>
      <c r="B32" s="2" t="s">
        <v>64</v>
      </c>
      <c r="C32" s="2">
        <v>85</v>
      </c>
    </row>
    <row r="33" spans="1:3">
      <c r="A33" s="2" t="s">
        <v>65</v>
      </c>
      <c r="B33" s="2" t="s">
        <v>66</v>
      </c>
      <c r="C33" s="2">
        <v>22</v>
      </c>
    </row>
    <row r="34" spans="1:3">
      <c r="A34" s="2" t="s">
        <v>67</v>
      </c>
      <c r="B34" s="2" t="s">
        <v>68</v>
      </c>
      <c r="C34" s="2">
        <v>22</v>
      </c>
    </row>
    <row r="35" spans="1:3">
      <c r="A35" s="2" t="s">
        <v>69</v>
      </c>
      <c r="B35" s="2" t="s">
        <v>70</v>
      </c>
      <c r="C35" s="2">
        <v>61</v>
      </c>
    </row>
    <row r="36" spans="1:3">
      <c r="A36" s="2" t="s">
        <v>71</v>
      </c>
      <c r="B36" s="2" t="s">
        <v>72</v>
      </c>
      <c r="C36" s="2">
        <v>24</v>
      </c>
    </row>
    <row r="37" spans="1:3">
      <c r="A37" s="2" t="s">
        <v>73</v>
      </c>
      <c r="B37" s="2" t="s">
        <v>74</v>
      </c>
      <c r="C37" s="2">
        <v>68</v>
      </c>
    </row>
    <row r="38" spans="1:3">
      <c r="A38" s="2" t="s">
        <v>75</v>
      </c>
      <c r="B38" s="2" t="s">
        <v>76</v>
      </c>
      <c r="C38" s="2">
        <v>74</v>
      </c>
    </row>
    <row r="39" spans="1:3">
      <c r="A39" s="2" t="s">
        <v>77</v>
      </c>
      <c r="B39" s="2" t="s">
        <v>78</v>
      </c>
      <c r="C39" s="2">
        <v>78</v>
      </c>
    </row>
    <row r="40" spans="1:3">
      <c r="A40" s="2" t="s">
        <v>79</v>
      </c>
      <c r="B40" s="2" t="s">
        <v>80</v>
      </c>
      <c r="C40" s="2">
        <v>53</v>
      </c>
    </row>
    <row r="41" spans="1:3">
      <c r="A41" s="2" t="s">
        <v>81</v>
      </c>
      <c r="B41" s="2" t="s">
        <v>82</v>
      </c>
      <c r="C41" s="2">
        <v>31</v>
      </c>
    </row>
    <row r="42" spans="1:3">
      <c r="A42" s="2" t="s">
        <v>83</v>
      </c>
      <c r="B42" s="2" t="s">
        <v>84</v>
      </c>
      <c r="C42" s="2">
        <v>51</v>
      </c>
    </row>
    <row r="43" spans="1:3">
      <c r="A43" s="2" t="s">
        <v>85</v>
      </c>
      <c r="B43" s="2" t="s">
        <v>86</v>
      </c>
      <c r="C43" s="2">
        <v>90</v>
      </c>
    </row>
    <row r="44" spans="1:3">
      <c r="A44" s="2" t="s">
        <v>87</v>
      </c>
      <c r="B44" s="2" t="s">
        <v>88</v>
      </c>
      <c r="C44" s="2">
        <v>36</v>
      </c>
    </row>
    <row r="45" spans="1:3">
      <c r="A45" s="2" t="s">
        <v>89</v>
      </c>
      <c r="B45" s="2" t="s">
        <v>90</v>
      </c>
      <c r="C45" s="2">
        <v>57</v>
      </c>
    </row>
    <row r="46" spans="1:3">
      <c r="A46" s="2" t="s">
        <v>91</v>
      </c>
      <c r="B46" s="2" t="s">
        <v>92</v>
      </c>
      <c r="C46" s="2">
        <v>74</v>
      </c>
    </row>
    <row r="47" spans="1:3">
      <c r="A47" s="2" t="s">
        <v>93</v>
      </c>
      <c r="B47" s="2" t="s">
        <v>94</v>
      </c>
      <c r="C47" s="2">
        <v>45</v>
      </c>
    </row>
    <row r="48" spans="1:3">
      <c r="A48" s="2" t="s">
        <v>95</v>
      </c>
      <c r="B48" s="2" t="s">
        <v>96</v>
      </c>
      <c r="C48" s="2">
        <v>78</v>
      </c>
    </row>
    <row r="49" spans="1:3">
      <c r="A49" s="2" t="s">
        <v>97</v>
      </c>
      <c r="B49" s="2" t="s">
        <v>98</v>
      </c>
      <c r="C49" s="2">
        <v>74</v>
      </c>
    </row>
    <row r="50" spans="1:3">
      <c r="A50" s="2" t="s">
        <v>99</v>
      </c>
      <c r="B50" s="2" t="s">
        <v>100</v>
      </c>
      <c r="C50" s="2">
        <v>85</v>
      </c>
    </row>
    <row r="51" spans="1:3">
      <c r="A51" s="2" t="s">
        <v>101</v>
      </c>
      <c r="B51" s="2" t="s">
        <v>102</v>
      </c>
      <c r="C51" s="2">
        <v>71</v>
      </c>
    </row>
    <row r="52" spans="1:3">
      <c r="A52" s="2" t="s">
        <v>103</v>
      </c>
      <c r="B52" s="2" t="s">
        <v>104</v>
      </c>
      <c r="C52" s="2">
        <v>73</v>
      </c>
    </row>
    <row r="53" spans="1:3">
      <c r="A53" s="2" t="s">
        <v>105</v>
      </c>
      <c r="B53" s="2" t="s">
        <v>106</v>
      </c>
      <c r="C53" s="2">
        <v>69</v>
      </c>
    </row>
    <row r="54" spans="1:3">
      <c r="A54" s="2" t="s">
        <v>107</v>
      </c>
      <c r="B54" s="2" t="s">
        <v>108</v>
      </c>
      <c r="C54" s="2">
        <v>52</v>
      </c>
    </row>
    <row r="55" spans="1:3">
      <c r="A55" s="2" t="s">
        <v>109</v>
      </c>
      <c r="B55" s="2" t="s">
        <v>110</v>
      </c>
      <c r="C55" s="2">
        <v>21</v>
      </c>
    </row>
    <row r="56" spans="1:3">
      <c r="A56" s="2" t="s">
        <v>111</v>
      </c>
      <c r="B56" s="2" t="s">
        <v>112</v>
      </c>
      <c r="C56" s="2">
        <v>49</v>
      </c>
    </row>
    <row r="57" spans="1:3">
      <c r="A57" s="2" t="s">
        <v>113</v>
      </c>
      <c r="B57" s="2" t="s">
        <v>114</v>
      </c>
      <c r="C57" s="2">
        <v>71</v>
      </c>
    </row>
    <row r="58" spans="1:3">
      <c r="A58" s="2" t="s">
        <v>115</v>
      </c>
      <c r="B58" s="2" t="s">
        <v>116</v>
      </c>
      <c r="C58" s="2">
        <v>32</v>
      </c>
    </row>
    <row r="59" spans="1:3">
      <c r="A59" s="2" t="s">
        <v>117</v>
      </c>
      <c r="B59" s="2" t="s">
        <v>118</v>
      </c>
      <c r="C59" s="2">
        <v>89</v>
      </c>
    </row>
    <row r="60" spans="1:3">
      <c r="A60" s="2" t="s">
        <v>119</v>
      </c>
      <c r="B60" s="2" t="s">
        <v>120</v>
      </c>
      <c r="C60" s="2">
        <v>20</v>
      </c>
    </row>
    <row r="61" spans="1:3">
      <c r="A61" s="2" t="s">
        <v>121</v>
      </c>
      <c r="B61" s="2" t="s">
        <v>122</v>
      </c>
      <c r="C61" s="2">
        <v>51</v>
      </c>
    </row>
    <row r="62" spans="1:3">
      <c r="A62" s="2" t="s">
        <v>123</v>
      </c>
      <c r="B62" s="2" t="s">
        <v>124</v>
      </c>
      <c r="C62" s="2">
        <v>22</v>
      </c>
    </row>
    <row r="63" spans="1:3">
      <c r="A63" s="2" t="s">
        <v>125</v>
      </c>
      <c r="B63" s="2" t="s">
        <v>126</v>
      </c>
      <c r="C63" s="2">
        <v>29</v>
      </c>
    </row>
    <row r="64" spans="1:3">
      <c r="A64" s="2" t="s">
        <v>127</v>
      </c>
      <c r="B64" s="2" t="s">
        <v>128</v>
      </c>
      <c r="C64" s="2">
        <v>37</v>
      </c>
    </row>
    <row r="65" spans="1:3">
      <c r="A65" s="2" t="s">
        <v>129</v>
      </c>
      <c r="B65" s="2" t="s">
        <v>130</v>
      </c>
      <c r="C65" s="2">
        <v>67</v>
      </c>
    </row>
    <row r="66" spans="1:3">
      <c r="A66" s="2" t="s">
        <v>131</v>
      </c>
      <c r="B66" s="2" t="s">
        <v>132</v>
      </c>
      <c r="C66" s="2">
        <v>87</v>
      </c>
    </row>
    <row r="67" spans="1:3">
      <c r="A67" s="2" t="s">
        <v>133</v>
      </c>
      <c r="B67" s="2" t="s">
        <v>134</v>
      </c>
      <c r="C67" s="2">
        <v>18</v>
      </c>
    </row>
    <row r="68" spans="1:3">
      <c r="A68" s="2" t="s">
        <v>135</v>
      </c>
      <c r="B68" s="2" t="s">
        <v>136</v>
      </c>
      <c r="C68" s="2">
        <v>36</v>
      </c>
    </row>
    <row r="69" spans="1:3">
      <c r="A69" s="2" t="s">
        <v>137</v>
      </c>
      <c r="B69" s="2" t="s">
        <v>138</v>
      </c>
      <c r="C69" s="2">
        <v>85</v>
      </c>
    </row>
    <row r="70" spans="1:3">
      <c r="A70" s="2" t="s">
        <v>139</v>
      </c>
      <c r="B70" s="2" t="s">
        <v>140</v>
      </c>
      <c r="C70" s="2">
        <v>23</v>
      </c>
    </row>
    <row r="71" spans="1:3">
      <c r="A71" s="2" t="s">
        <v>141</v>
      </c>
      <c r="B71" s="2" t="s">
        <v>142</v>
      </c>
      <c r="C71" s="2">
        <v>17</v>
      </c>
    </row>
    <row r="72" spans="1:3">
      <c r="A72" s="2" t="s">
        <v>143</v>
      </c>
      <c r="B72" s="2" t="s">
        <v>144</v>
      </c>
      <c r="C72" s="2">
        <v>65</v>
      </c>
    </row>
    <row r="73" spans="1:3">
      <c r="A73" s="2" t="s">
        <v>145</v>
      </c>
      <c r="B73" s="2" t="s">
        <v>146</v>
      </c>
      <c r="C73" s="2">
        <v>12</v>
      </c>
    </row>
    <row r="74" spans="1:3">
      <c r="A74" s="2" t="s">
        <v>147</v>
      </c>
      <c r="B74" s="2" t="s">
        <v>148</v>
      </c>
      <c r="C74" s="2">
        <v>65</v>
      </c>
    </row>
    <row r="75" spans="1:3">
      <c r="A75" s="2" t="s">
        <v>149</v>
      </c>
      <c r="B75" s="2" t="s">
        <v>150</v>
      </c>
      <c r="C75" s="2">
        <v>83</v>
      </c>
    </row>
    <row r="76" spans="1:3">
      <c r="A76" s="2" t="s">
        <v>151</v>
      </c>
      <c r="B76" s="2" t="s">
        <v>152</v>
      </c>
      <c r="C76" s="2">
        <v>72</v>
      </c>
    </row>
    <row r="77" spans="1:3">
      <c r="A77" s="2" t="s">
        <v>153</v>
      </c>
      <c r="B77" s="2" t="s">
        <v>154</v>
      </c>
      <c r="C77" s="2">
        <v>82</v>
      </c>
    </row>
    <row r="78" spans="1:3">
      <c r="A78" s="2" t="s">
        <v>155</v>
      </c>
      <c r="B78" s="2" t="s">
        <v>156</v>
      </c>
      <c r="C78" s="2">
        <v>66</v>
      </c>
    </row>
    <row r="79" spans="1:3">
      <c r="A79" s="2" t="s">
        <v>157</v>
      </c>
      <c r="B79" s="2" t="s">
        <v>158</v>
      </c>
      <c r="C79" s="2">
        <v>52</v>
      </c>
    </row>
    <row r="80" spans="1:3">
      <c r="A80" s="2" t="s">
        <v>159</v>
      </c>
      <c r="B80" s="2" t="s">
        <v>160</v>
      </c>
      <c r="C80" s="2">
        <v>68</v>
      </c>
    </row>
    <row r="81" spans="1:3">
      <c r="A81" s="2" t="s">
        <v>161</v>
      </c>
      <c r="B81" s="2" t="s">
        <v>162</v>
      </c>
      <c r="C81" s="2">
        <v>86</v>
      </c>
    </row>
    <row r="82" spans="1:3">
      <c r="A82" s="2" t="s">
        <v>163</v>
      </c>
      <c r="B82" s="2" t="s">
        <v>164</v>
      </c>
      <c r="C82" s="2">
        <v>47</v>
      </c>
    </row>
    <row r="83" spans="1:3">
      <c r="A83" s="2" t="s">
        <v>165</v>
      </c>
      <c r="B83" s="2" t="s">
        <v>166</v>
      </c>
      <c r="C83" s="2">
        <v>52</v>
      </c>
    </row>
    <row r="84" spans="1:3">
      <c r="A84" s="2" t="s">
        <v>167</v>
      </c>
      <c r="B84" s="2" t="s">
        <v>168</v>
      </c>
      <c r="C84" s="2">
        <v>27</v>
      </c>
    </row>
    <row r="85" spans="1:3">
      <c r="A85" s="2" t="s">
        <v>169</v>
      </c>
      <c r="B85" s="2" t="s">
        <v>170</v>
      </c>
      <c r="C85" s="2">
        <v>43</v>
      </c>
    </row>
    <row r="86" spans="1:3">
      <c r="A86" s="2" t="s">
        <v>171</v>
      </c>
      <c r="B86" s="2" t="s">
        <v>172</v>
      </c>
      <c r="C86" s="2">
        <v>81</v>
      </c>
    </row>
    <row r="87" spans="1:3">
      <c r="A87" s="2" t="s">
        <v>173</v>
      </c>
      <c r="B87" s="2" t="s">
        <v>174</v>
      </c>
      <c r="C87" s="2">
        <v>36</v>
      </c>
    </row>
    <row r="88" spans="1:3">
      <c r="A88" s="2" t="s">
        <v>175</v>
      </c>
      <c r="B88" s="2" t="s">
        <v>176</v>
      </c>
      <c r="C88" s="2">
        <v>90</v>
      </c>
    </row>
    <row r="89" spans="1:3">
      <c r="A89" s="2" t="s">
        <v>177</v>
      </c>
      <c r="B89" s="2" t="s">
        <v>178</v>
      </c>
      <c r="C89" s="2">
        <v>33</v>
      </c>
    </row>
    <row r="90" spans="1:3">
      <c r="A90" s="2" t="s">
        <v>179</v>
      </c>
      <c r="B90" s="2" t="s">
        <v>180</v>
      </c>
      <c r="C90" s="2">
        <v>43</v>
      </c>
    </row>
    <row r="91" spans="1:3">
      <c r="A91" s="2" t="s">
        <v>181</v>
      </c>
      <c r="B91" s="2" t="s">
        <v>182</v>
      </c>
      <c r="C91" s="2">
        <v>81</v>
      </c>
    </row>
    <row r="92" spans="1:3">
      <c r="A92" s="2" t="s">
        <v>183</v>
      </c>
      <c r="B92" s="2" t="s">
        <v>184</v>
      </c>
      <c r="C92" s="2">
        <v>36</v>
      </c>
    </row>
    <row r="93" spans="1:3">
      <c r="A93" s="2" t="s">
        <v>185</v>
      </c>
      <c r="B93" s="2" t="s">
        <v>186</v>
      </c>
      <c r="C93" s="2">
        <v>59</v>
      </c>
    </row>
    <row r="94" spans="1:3">
      <c r="A94" s="2" t="s">
        <v>187</v>
      </c>
      <c r="B94" s="2" t="s">
        <v>188</v>
      </c>
      <c r="C94" s="2">
        <v>50</v>
      </c>
    </row>
    <row r="95" spans="1:3">
      <c r="A95" s="2" t="s">
        <v>189</v>
      </c>
      <c r="B95" s="2" t="s">
        <v>190</v>
      </c>
      <c r="C95" s="2">
        <v>48</v>
      </c>
    </row>
    <row r="96" spans="1:3">
      <c r="A96" s="2" t="s">
        <v>191</v>
      </c>
      <c r="B96" s="2" t="s">
        <v>192</v>
      </c>
      <c r="C96" s="2">
        <v>88</v>
      </c>
    </row>
    <row r="97" spans="1:3">
      <c r="A97" s="2" t="s">
        <v>193</v>
      </c>
      <c r="B97" s="2" t="s">
        <v>194</v>
      </c>
      <c r="C97" s="2">
        <v>67</v>
      </c>
    </row>
    <row r="98" spans="1:3">
      <c r="A98" s="2" t="s">
        <v>195</v>
      </c>
      <c r="B98" s="2" t="s">
        <v>196</v>
      </c>
      <c r="C98" s="2">
        <v>24</v>
      </c>
    </row>
    <row r="99" spans="1:3">
      <c r="A99" s="2" t="s">
        <v>197</v>
      </c>
      <c r="B99" s="2" t="s">
        <v>198</v>
      </c>
      <c r="C99" s="2">
        <v>28</v>
      </c>
    </row>
    <row r="100" spans="1:3">
      <c r="A100" s="2" t="s">
        <v>199</v>
      </c>
      <c r="B100" s="2" t="s">
        <v>200</v>
      </c>
      <c r="C100" s="2">
        <v>20</v>
      </c>
    </row>
    <row r="101" spans="1:3">
      <c r="A101" s="2" t="s">
        <v>201</v>
      </c>
      <c r="B101" s="2" t="s">
        <v>202</v>
      </c>
      <c r="C101" s="2">
        <v>79</v>
      </c>
    </row>
    <row r="102" spans="1:3">
      <c r="A102" s="2" t="s">
        <v>203</v>
      </c>
      <c r="B102" s="2" t="s">
        <v>204</v>
      </c>
      <c r="C102" s="2">
        <v>89</v>
      </c>
    </row>
    <row r="103" spans="1:3">
      <c r="A103" s="2" t="s">
        <v>205</v>
      </c>
      <c r="B103" s="2" t="s">
        <v>206</v>
      </c>
      <c r="C103" s="2">
        <v>89</v>
      </c>
    </row>
    <row r="104" spans="1:3">
      <c r="A104" s="2" t="s">
        <v>207</v>
      </c>
      <c r="B104" s="2" t="s">
        <v>208</v>
      </c>
      <c r="C104" s="2">
        <v>32</v>
      </c>
    </row>
    <row r="105" spans="1:3">
      <c r="A105" s="2" t="s">
        <v>209</v>
      </c>
      <c r="B105" s="2" t="s">
        <v>210</v>
      </c>
      <c r="C105" s="2">
        <v>56</v>
      </c>
    </row>
    <row r="106" spans="1:3">
      <c r="A106" s="2" t="s">
        <v>211</v>
      </c>
      <c r="B106" s="2" t="s">
        <v>212</v>
      </c>
      <c r="C106" s="2">
        <v>84</v>
      </c>
    </row>
    <row r="107" spans="1:3">
      <c r="A107" s="2" t="s">
        <v>213</v>
      </c>
      <c r="B107" s="2" t="s">
        <v>214</v>
      </c>
      <c r="C107" s="2">
        <v>35</v>
      </c>
    </row>
    <row r="108" spans="1:3">
      <c r="A108" s="2" t="s">
        <v>215</v>
      </c>
      <c r="B108" s="2" t="s">
        <v>216</v>
      </c>
      <c r="C108" s="2">
        <v>32</v>
      </c>
    </row>
    <row r="109" spans="1:3">
      <c r="A109" s="2" t="s">
        <v>217</v>
      </c>
      <c r="B109" s="2" t="s">
        <v>218</v>
      </c>
      <c r="C109" s="2">
        <v>60</v>
      </c>
    </row>
    <row r="110" spans="1:3">
      <c r="A110" s="2" t="s">
        <v>219</v>
      </c>
      <c r="B110" s="2" t="s">
        <v>220</v>
      </c>
      <c r="C110" s="2">
        <v>79</v>
      </c>
    </row>
    <row r="111" spans="1:3">
      <c r="A111" s="2" t="s">
        <v>221</v>
      </c>
      <c r="B111" s="2" t="s">
        <v>222</v>
      </c>
      <c r="C111" s="2">
        <v>74</v>
      </c>
    </row>
    <row r="112" spans="1:3">
      <c r="A112" s="2" t="s">
        <v>223</v>
      </c>
      <c r="B112" s="2" t="s">
        <v>224</v>
      </c>
      <c r="C112" s="2">
        <v>42</v>
      </c>
    </row>
    <row r="113" spans="1:3">
      <c r="A113" s="2" t="s">
        <v>225</v>
      </c>
      <c r="B113" s="2" t="s">
        <v>226</v>
      </c>
      <c r="C113" s="2">
        <v>67</v>
      </c>
    </row>
    <row r="114" spans="1:3">
      <c r="A114" s="2" t="s">
        <v>227</v>
      </c>
      <c r="B114" s="2" t="s">
        <v>228</v>
      </c>
      <c r="C114" s="2">
        <v>56</v>
      </c>
    </row>
    <row r="115" spans="1:3">
      <c r="A115" s="2" t="s">
        <v>229</v>
      </c>
      <c r="B115" s="2" t="s">
        <v>230</v>
      </c>
      <c r="C115" s="2">
        <v>19</v>
      </c>
    </row>
    <row r="116" spans="1:3">
      <c r="A116" s="2" t="s">
        <v>231</v>
      </c>
      <c r="B116" s="2" t="s">
        <v>232</v>
      </c>
      <c r="C116" s="2">
        <v>50</v>
      </c>
    </row>
    <row r="117" spans="1:3">
      <c r="A117" s="2" t="s">
        <v>233</v>
      </c>
      <c r="B117" s="2" t="s">
        <v>234</v>
      </c>
      <c r="C117" s="2">
        <v>40</v>
      </c>
    </row>
    <row r="118" spans="1:3">
      <c r="A118" s="2" t="s">
        <v>235</v>
      </c>
      <c r="B118" s="2" t="s">
        <v>236</v>
      </c>
      <c r="C118" s="2">
        <v>62</v>
      </c>
    </row>
    <row r="119" spans="1:3">
      <c r="A119" s="2" t="s">
        <v>237</v>
      </c>
      <c r="B119" s="2" t="s">
        <v>238</v>
      </c>
      <c r="C119" s="2">
        <v>77</v>
      </c>
    </row>
    <row r="120" spans="1:3">
      <c r="A120" s="2" t="s">
        <v>239</v>
      </c>
      <c r="B120" s="2" t="s">
        <v>240</v>
      </c>
      <c r="C120" s="2">
        <v>36</v>
      </c>
    </row>
    <row r="121" spans="1:3">
      <c r="A121" s="2" t="s">
        <v>241</v>
      </c>
      <c r="B121" s="2" t="s">
        <v>242</v>
      </c>
      <c r="C121" s="2">
        <v>47</v>
      </c>
    </row>
    <row r="122" spans="1:3">
      <c r="A122" s="2" t="s">
        <v>243</v>
      </c>
      <c r="B122" s="2" t="s">
        <v>244</v>
      </c>
      <c r="C122" s="2">
        <v>77</v>
      </c>
    </row>
    <row r="123" spans="1:3">
      <c r="A123" s="2" t="s">
        <v>245</v>
      </c>
      <c r="B123" s="2" t="s">
        <v>246</v>
      </c>
      <c r="C123" s="2">
        <v>21</v>
      </c>
    </row>
    <row r="124" spans="1:3">
      <c r="A124" s="2" t="s">
        <v>247</v>
      </c>
      <c r="B124" s="2" t="s">
        <v>248</v>
      </c>
      <c r="C124" s="2">
        <v>39</v>
      </c>
    </row>
    <row r="125" spans="1:3">
      <c r="A125" s="2" t="s">
        <v>249</v>
      </c>
      <c r="B125" s="2" t="s">
        <v>250</v>
      </c>
      <c r="C125" s="2">
        <v>39</v>
      </c>
    </row>
    <row r="126" spans="1:3">
      <c r="A126" s="2" t="s">
        <v>251</v>
      </c>
      <c r="B126" s="2" t="s">
        <v>252</v>
      </c>
      <c r="C126" s="2">
        <v>26</v>
      </c>
    </row>
    <row r="127" spans="1:3">
      <c r="A127" s="2" t="s">
        <v>253</v>
      </c>
      <c r="B127" s="2" t="s">
        <v>254</v>
      </c>
      <c r="C127" s="2">
        <v>78</v>
      </c>
    </row>
    <row r="128" spans="1:3">
      <c r="A128" s="2" t="s">
        <v>255</v>
      </c>
      <c r="B128" s="2" t="s">
        <v>256</v>
      </c>
      <c r="C128" s="2">
        <v>53</v>
      </c>
    </row>
    <row r="129" spans="1:3">
      <c r="A129" s="2" t="s">
        <v>257</v>
      </c>
      <c r="B129" s="2" t="s">
        <v>258</v>
      </c>
      <c r="C129" s="2">
        <v>83</v>
      </c>
    </row>
    <row r="130" spans="1:3">
      <c r="A130" s="2" t="s">
        <v>259</v>
      </c>
      <c r="B130" s="2" t="s">
        <v>260</v>
      </c>
      <c r="C130" s="2">
        <v>21</v>
      </c>
    </row>
    <row r="131" spans="1:3">
      <c r="A131" s="2" t="s">
        <v>261</v>
      </c>
      <c r="B131" s="2" t="s">
        <v>262</v>
      </c>
      <c r="C131" s="2">
        <v>37</v>
      </c>
    </row>
    <row r="132" spans="1:3">
      <c r="A132" s="2" t="s">
        <v>263</v>
      </c>
      <c r="B132" s="2" t="s">
        <v>264</v>
      </c>
      <c r="C132" s="2">
        <v>74</v>
      </c>
    </row>
    <row r="133" spans="1:3">
      <c r="A133" s="2" t="s">
        <v>265</v>
      </c>
      <c r="B133" s="2" t="s">
        <v>266</v>
      </c>
      <c r="C133" s="2">
        <v>13</v>
      </c>
    </row>
    <row r="134" spans="1:3">
      <c r="A134" s="2" t="s">
        <v>267</v>
      </c>
      <c r="B134" s="2" t="s">
        <v>268</v>
      </c>
      <c r="C134" s="2">
        <v>53</v>
      </c>
    </row>
    <row r="135" spans="1:3">
      <c r="A135" s="2" t="s">
        <v>269</v>
      </c>
      <c r="B135" s="2" t="s">
        <v>270</v>
      </c>
      <c r="C135" s="2">
        <v>39</v>
      </c>
    </row>
    <row r="136" spans="1:3">
      <c r="A136" s="2" t="s">
        <v>271</v>
      </c>
      <c r="B136" s="2" t="s">
        <v>272</v>
      </c>
      <c r="C136" s="2">
        <v>74</v>
      </c>
    </row>
    <row r="137" spans="1:3">
      <c r="A137" s="2" t="s">
        <v>273</v>
      </c>
      <c r="B137" s="2" t="s">
        <v>274</v>
      </c>
      <c r="C137" s="2">
        <v>52</v>
      </c>
    </row>
    <row r="138" spans="1:3">
      <c r="A138" s="2" t="s">
        <v>275</v>
      </c>
      <c r="B138" s="2" t="s">
        <v>276</v>
      </c>
      <c r="C138" s="2">
        <v>24</v>
      </c>
    </row>
    <row r="139" spans="1:3">
      <c r="A139" s="2" t="s">
        <v>277</v>
      </c>
      <c r="B139" s="2" t="s">
        <v>278</v>
      </c>
      <c r="C139" s="2">
        <v>87</v>
      </c>
    </row>
    <row r="140" spans="1:3">
      <c r="A140" s="2" t="s">
        <v>279</v>
      </c>
      <c r="B140" s="2" t="s">
        <v>280</v>
      </c>
      <c r="C140" s="2">
        <v>83</v>
      </c>
    </row>
    <row r="141" spans="1:3">
      <c r="A141" s="2" t="s">
        <v>281</v>
      </c>
      <c r="B141" s="2" t="s">
        <v>282</v>
      </c>
      <c r="C141" s="2">
        <v>75</v>
      </c>
    </row>
    <row r="142" spans="1:3">
      <c r="A142" s="2" t="s">
        <v>283</v>
      </c>
      <c r="B142" s="2" t="s">
        <v>284</v>
      </c>
      <c r="C142" s="2">
        <v>17</v>
      </c>
    </row>
    <row r="143" spans="1:3">
      <c r="A143" s="2" t="s">
        <v>285</v>
      </c>
      <c r="B143" s="2" t="s">
        <v>286</v>
      </c>
      <c r="C143" s="2">
        <v>48</v>
      </c>
    </row>
    <row r="144" spans="1:3">
      <c r="A144" s="2" t="s">
        <v>287</v>
      </c>
      <c r="B144" s="2" t="s">
        <v>288</v>
      </c>
      <c r="C144" s="2">
        <v>39</v>
      </c>
    </row>
    <row r="145" spans="1:3">
      <c r="A145" s="2" t="s">
        <v>289</v>
      </c>
      <c r="B145" s="2" t="s">
        <v>290</v>
      </c>
      <c r="C145" s="2">
        <v>76</v>
      </c>
    </row>
    <row r="146" spans="1:3">
      <c r="A146" s="2" t="s">
        <v>291</v>
      </c>
      <c r="B146" s="2" t="s">
        <v>292</v>
      </c>
      <c r="C146" s="2">
        <v>88</v>
      </c>
    </row>
    <row r="147" spans="1:3">
      <c r="A147" s="2" t="s">
        <v>293</v>
      </c>
      <c r="B147" s="2" t="s">
        <v>294</v>
      </c>
      <c r="C147" s="2">
        <v>87</v>
      </c>
    </row>
    <row r="148" spans="1:3">
      <c r="A148" s="2" t="s">
        <v>295</v>
      </c>
      <c r="B148" s="2" t="s">
        <v>296</v>
      </c>
      <c r="C148" s="2">
        <v>17</v>
      </c>
    </row>
    <row r="149" spans="1:3">
      <c r="A149" s="2" t="s">
        <v>297</v>
      </c>
      <c r="B149" s="2" t="s">
        <v>298</v>
      </c>
      <c r="C149" s="2">
        <v>15</v>
      </c>
    </row>
    <row r="150" spans="1:3">
      <c r="A150" s="2" t="s">
        <v>299</v>
      </c>
      <c r="B150" s="2" t="s">
        <v>300</v>
      </c>
      <c r="C150" s="2">
        <v>75</v>
      </c>
    </row>
    <row r="151" spans="1:3">
      <c r="A151" s="2" t="s">
        <v>301</v>
      </c>
      <c r="B151" s="2" t="s">
        <v>302</v>
      </c>
      <c r="C151" s="2">
        <v>33</v>
      </c>
    </row>
    <row r="152" spans="1:3">
      <c r="A152" s="2" t="s">
        <v>303</v>
      </c>
      <c r="B152" s="2" t="s">
        <v>304</v>
      </c>
      <c r="C152" s="2">
        <v>88</v>
      </c>
    </row>
    <row r="153" spans="1:3">
      <c r="A153" s="2" t="s">
        <v>305</v>
      </c>
      <c r="B153" s="2" t="s">
        <v>306</v>
      </c>
      <c r="C153" s="2">
        <v>69</v>
      </c>
    </row>
    <row r="154" spans="1:3">
      <c r="A154" s="2" t="s">
        <v>307</v>
      </c>
      <c r="B154" s="2" t="s">
        <v>308</v>
      </c>
      <c r="C154" s="2">
        <v>41</v>
      </c>
    </row>
    <row r="155" spans="1:3">
      <c r="A155" s="2" t="s">
        <v>309</v>
      </c>
      <c r="B155" s="2" t="s">
        <v>310</v>
      </c>
      <c r="C155" s="2">
        <v>28</v>
      </c>
    </row>
    <row r="156" spans="1:3">
      <c r="A156" s="2" t="s">
        <v>311</v>
      </c>
      <c r="B156" s="2" t="s">
        <v>312</v>
      </c>
      <c r="C156" s="2">
        <v>50</v>
      </c>
    </row>
    <row r="157" spans="1:3">
      <c r="A157" s="2" t="s">
        <v>313</v>
      </c>
      <c r="B157" s="2" t="s">
        <v>314</v>
      </c>
      <c r="C157" s="2">
        <v>67</v>
      </c>
    </row>
    <row r="158" spans="1:3">
      <c r="A158" s="2" t="s">
        <v>315</v>
      </c>
      <c r="B158" s="2" t="s">
        <v>316</v>
      </c>
      <c r="C158" s="2">
        <v>68</v>
      </c>
    </row>
    <row r="159" spans="1:3">
      <c r="A159" s="2" t="s">
        <v>317</v>
      </c>
      <c r="B159" s="2" t="s">
        <v>318</v>
      </c>
      <c r="C159" s="2">
        <v>42</v>
      </c>
    </row>
    <row r="160" spans="1:3">
      <c r="A160" s="2" t="s">
        <v>319</v>
      </c>
      <c r="B160" s="2" t="s">
        <v>320</v>
      </c>
      <c r="C160" s="2">
        <v>49</v>
      </c>
    </row>
    <row r="161" spans="1:3">
      <c r="A161" s="2" t="s">
        <v>321</v>
      </c>
      <c r="B161" s="2" t="s">
        <v>322</v>
      </c>
      <c r="C161" s="2">
        <v>20</v>
      </c>
    </row>
    <row r="162" spans="1:3">
      <c r="A162" s="2" t="s">
        <v>323</v>
      </c>
      <c r="B162" s="2" t="s">
        <v>324</v>
      </c>
      <c r="C162" s="2">
        <v>80</v>
      </c>
    </row>
    <row r="163" spans="1:3">
      <c r="A163" s="2" t="s">
        <v>325</v>
      </c>
      <c r="B163" s="2" t="s">
        <v>326</v>
      </c>
      <c r="C163" s="2">
        <v>41</v>
      </c>
    </row>
    <row r="164" spans="1:3">
      <c r="A164" s="2" t="s">
        <v>327</v>
      </c>
      <c r="B164" s="2" t="s">
        <v>328</v>
      </c>
      <c r="C164" s="2">
        <v>66</v>
      </c>
    </row>
    <row r="165" spans="1:3">
      <c r="A165" s="2" t="s">
        <v>329</v>
      </c>
      <c r="B165" s="2" t="s">
        <v>330</v>
      </c>
      <c r="C165" s="2">
        <v>36</v>
      </c>
    </row>
    <row r="166" spans="1:3">
      <c r="A166" s="2" t="s">
        <v>331</v>
      </c>
      <c r="B166" s="2" t="s">
        <v>332</v>
      </c>
      <c r="C166" s="2">
        <v>15</v>
      </c>
    </row>
    <row r="167" spans="1:3">
      <c r="A167" s="2" t="s">
        <v>333</v>
      </c>
      <c r="B167" s="2" t="s">
        <v>334</v>
      </c>
      <c r="C167" s="2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"/>
  <sheetViews>
    <sheetView tabSelected="1" topLeftCell="A16" workbookViewId="0">
      <selection activeCell="F6" sqref="F6"/>
    </sheetView>
  </sheetViews>
  <sheetFormatPr defaultColWidth="8.88671875" defaultRowHeight="21"/>
  <cols>
    <col min="1" max="1" width="14.109375" style="18" bestFit="1" customWidth="1"/>
    <col min="2" max="2" width="52.33203125" style="18" customWidth="1"/>
    <col min="3" max="3" width="14.33203125" style="19" bestFit="1" customWidth="1"/>
    <col min="4" max="16384" width="8.88671875" style="18"/>
  </cols>
  <sheetData>
    <row r="1" spans="1:3">
      <c r="A1" s="4" t="s">
        <v>0</v>
      </c>
      <c r="B1" s="4" t="s">
        <v>1</v>
      </c>
      <c r="C1" s="4" t="s">
        <v>339</v>
      </c>
    </row>
    <row r="2" spans="1:3">
      <c r="A2" s="3" t="s">
        <v>3</v>
      </c>
      <c r="B2" s="3" t="s">
        <v>4</v>
      </c>
      <c r="C2" s="6">
        <v>3</v>
      </c>
    </row>
    <row r="3" spans="1:3">
      <c r="A3" s="3" t="s">
        <v>5</v>
      </c>
      <c r="B3" s="3" t="s">
        <v>6</v>
      </c>
      <c r="C3" s="6">
        <v>2</v>
      </c>
    </row>
    <row r="4" spans="1:3">
      <c r="A4" s="3" t="s">
        <v>7</v>
      </c>
      <c r="B4" s="3" t="s">
        <v>8</v>
      </c>
      <c r="C4" s="6">
        <v>3</v>
      </c>
    </row>
    <row r="5" spans="1:3">
      <c r="A5" s="3" t="s">
        <v>9</v>
      </c>
      <c r="B5" s="3" t="s">
        <v>10</v>
      </c>
      <c r="C5" s="6">
        <v>6</v>
      </c>
    </row>
    <row r="6" spans="1:3">
      <c r="A6" s="3" t="s">
        <v>21</v>
      </c>
      <c r="B6" s="3" t="s">
        <v>22</v>
      </c>
      <c r="C6" s="6">
        <v>9</v>
      </c>
    </row>
    <row r="7" spans="1:3">
      <c r="A7" s="3" t="s">
        <v>71</v>
      </c>
      <c r="B7" s="3" t="s">
        <v>72</v>
      </c>
      <c r="C7" s="6">
        <v>4</v>
      </c>
    </row>
    <row r="8" spans="1:3">
      <c r="A8" s="3" t="s">
        <v>73</v>
      </c>
      <c r="B8" s="3" t="s">
        <v>74</v>
      </c>
      <c r="C8" s="6">
        <v>9</v>
      </c>
    </row>
    <row r="9" spans="1:3">
      <c r="A9" s="3" t="s">
        <v>75</v>
      </c>
      <c r="B9" s="3" t="s">
        <v>76</v>
      </c>
      <c r="C9" s="6">
        <v>4</v>
      </c>
    </row>
    <row r="10" spans="1:3">
      <c r="A10" s="3" t="s">
        <v>77</v>
      </c>
      <c r="B10" s="3" t="s">
        <v>78</v>
      </c>
      <c r="C10" s="6">
        <v>9</v>
      </c>
    </row>
    <row r="11" spans="1:3">
      <c r="A11" s="3" t="s">
        <v>79</v>
      </c>
      <c r="B11" s="3" t="s">
        <v>80</v>
      </c>
      <c r="C11" s="6">
        <v>2</v>
      </c>
    </row>
    <row r="12" spans="1:3">
      <c r="A12" s="3" t="s">
        <v>81</v>
      </c>
      <c r="B12" s="3" t="s">
        <v>82</v>
      </c>
      <c r="C12" s="6">
        <v>7</v>
      </c>
    </row>
    <row r="13" spans="1:3">
      <c r="A13" s="3" t="s">
        <v>11</v>
      </c>
      <c r="B13" s="3" t="s">
        <v>12</v>
      </c>
      <c r="C13" s="6">
        <v>9</v>
      </c>
    </row>
    <row r="14" spans="1:3">
      <c r="A14" s="3" t="s">
        <v>13</v>
      </c>
      <c r="B14" s="3" t="s">
        <v>14</v>
      </c>
      <c r="C14" s="6">
        <v>2</v>
      </c>
    </row>
    <row r="15" spans="1:3">
      <c r="A15" s="3" t="s">
        <v>15</v>
      </c>
      <c r="B15" s="3" t="s">
        <v>16</v>
      </c>
      <c r="C15" s="6">
        <v>4</v>
      </c>
    </row>
    <row r="16" spans="1:3">
      <c r="A16" s="3" t="s">
        <v>17</v>
      </c>
      <c r="B16" s="3" t="s">
        <v>18</v>
      </c>
      <c r="C16" s="6">
        <v>5</v>
      </c>
    </row>
    <row r="17" spans="1:3">
      <c r="A17" s="3" t="s">
        <v>19</v>
      </c>
      <c r="B17" s="3" t="s">
        <v>20</v>
      </c>
      <c r="C17" s="6">
        <v>6</v>
      </c>
    </row>
    <row r="18" spans="1:3">
      <c r="A18" s="3" t="s">
        <v>55</v>
      </c>
      <c r="B18" s="3" t="s">
        <v>56</v>
      </c>
      <c r="C18" s="6">
        <v>5</v>
      </c>
    </row>
    <row r="19" spans="1:3">
      <c r="A19" s="3" t="s">
        <v>57</v>
      </c>
      <c r="B19" s="3" t="s">
        <v>58</v>
      </c>
      <c r="C19" s="6">
        <v>8</v>
      </c>
    </row>
    <row r="20" spans="1:3">
      <c r="A20" s="3" t="s">
        <v>59</v>
      </c>
      <c r="B20" s="3" t="s">
        <v>60</v>
      </c>
      <c r="C20" s="6">
        <v>5</v>
      </c>
    </row>
    <row r="21" spans="1:3">
      <c r="A21" s="3" t="s">
        <v>61</v>
      </c>
      <c r="B21" s="3" t="s">
        <v>62</v>
      </c>
      <c r="C21" s="6">
        <v>3</v>
      </c>
    </row>
    <row r="22" spans="1:3">
      <c r="A22" s="3" t="s">
        <v>63</v>
      </c>
      <c r="B22" s="3" t="s">
        <v>64</v>
      </c>
      <c r="C22" s="6">
        <v>9</v>
      </c>
    </row>
    <row r="23" spans="1:3">
      <c r="A23" s="3" t="s">
        <v>65</v>
      </c>
      <c r="B23" s="3" t="s">
        <v>66</v>
      </c>
      <c r="C23" s="6">
        <v>6</v>
      </c>
    </row>
    <row r="24" spans="1:3">
      <c r="A24" s="3" t="s">
        <v>69</v>
      </c>
      <c r="B24" s="3" t="s">
        <v>70</v>
      </c>
      <c r="C24" s="6">
        <v>2</v>
      </c>
    </row>
    <row r="25" spans="1:3">
      <c r="A25" s="3" t="s">
        <v>87</v>
      </c>
      <c r="B25" s="3" t="s">
        <v>88</v>
      </c>
      <c r="C25" s="6">
        <v>3</v>
      </c>
    </row>
    <row r="26" spans="1:3">
      <c r="A26" s="3" t="s">
        <v>89</v>
      </c>
      <c r="B26" s="3" t="s">
        <v>90</v>
      </c>
      <c r="C26" s="6">
        <v>7</v>
      </c>
    </row>
    <row r="27" spans="1:3">
      <c r="A27" s="3" t="s">
        <v>91</v>
      </c>
      <c r="B27" s="3" t="s">
        <v>92</v>
      </c>
      <c r="C27" s="6">
        <v>5</v>
      </c>
    </row>
    <row r="28" spans="1:3">
      <c r="A28" s="3" t="s">
        <v>93</v>
      </c>
      <c r="B28" s="3" t="s">
        <v>94</v>
      </c>
      <c r="C28" s="6">
        <v>8</v>
      </c>
    </row>
    <row r="29" spans="1:3">
      <c r="A29" s="3" t="s">
        <v>95</v>
      </c>
      <c r="B29" s="3" t="s">
        <v>96</v>
      </c>
      <c r="C29" s="6">
        <v>8</v>
      </c>
    </row>
    <row r="30" spans="1:3">
      <c r="A30" s="3" t="s">
        <v>97</v>
      </c>
      <c r="B30" s="3" t="s">
        <v>98</v>
      </c>
      <c r="C30" s="6">
        <v>5</v>
      </c>
    </row>
    <row r="31" spans="1:3">
      <c r="A31" s="3" t="s">
        <v>165</v>
      </c>
      <c r="B31" s="3" t="s">
        <v>166</v>
      </c>
      <c r="C31" s="6">
        <v>6</v>
      </c>
    </row>
    <row r="32" spans="1:3">
      <c r="A32" s="3" t="s">
        <v>167</v>
      </c>
      <c r="B32" s="3" t="s">
        <v>168</v>
      </c>
      <c r="C32" s="6">
        <v>3</v>
      </c>
    </row>
    <row r="33" spans="1:3">
      <c r="A33" s="3" t="s">
        <v>169</v>
      </c>
      <c r="B33" s="3" t="s">
        <v>170</v>
      </c>
      <c r="C33" s="6">
        <v>6</v>
      </c>
    </row>
    <row r="34" spans="1:3">
      <c r="A34" s="3" t="s">
        <v>177</v>
      </c>
      <c r="B34" s="3" t="s">
        <v>178</v>
      </c>
      <c r="C34" s="6">
        <v>5</v>
      </c>
    </row>
    <row r="35" spans="1:3">
      <c r="A35" s="3" t="s">
        <v>157</v>
      </c>
      <c r="B35" s="3" t="s">
        <v>158</v>
      </c>
      <c r="C35" s="6">
        <v>8</v>
      </c>
    </row>
    <row r="36" spans="1:3">
      <c r="A36" s="3" t="s">
        <v>173</v>
      </c>
      <c r="B36" s="3" t="s">
        <v>174</v>
      </c>
      <c r="C36" s="6">
        <v>7</v>
      </c>
    </row>
    <row r="37" spans="1:3">
      <c r="A37" s="3" t="s">
        <v>171</v>
      </c>
      <c r="B37" s="3" t="s">
        <v>172</v>
      </c>
      <c r="C37" s="6">
        <v>8</v>
      </c>
    </row>
    <row r="38" spans="1:3">
      <c r="A38" s="3" t="s">
        <v>175</v>
      </c>
      <c r="B38" s="3" t="s">
        <v>176</v>
      </c>
      <c r="C38" s="6">
        <v>4</v>
      </c>
    </row>
    <row r="39" spans="1:3">
      <c r="A39" s="3" t="s">
        <v>179</v>
      </c>
      <c r="B39" s="3" t="s">
        <v>180</v>
      </c>
      <c r="C39" s="6">
        <v>9</v>
      </c>
    </row>
    <row r="40" spans="1:3">
      <c r="A40" s="3" t="s">
        <v>181</v>
      </c>
      <c r="B40" s="3" t="s">
        <v>182</v>
      </c>
      <c r="C40" s="6">
        <v>2</v>
      </c>
    </row>
    <row r="41" spans="1:3">
      <c r="A41" s="3" t="s">
        <v>111</v>
      </c>
      <c r="B41" s="3" t="s">
        <v>112</v>
      </c>
      <c r="C41" s="6">
        <v>3</v>
      </c>
    </row>
    <row r="42" spans="1:3">
      <c r="A42" s="3" t="s">
        <v>113</v>
      </c>
      <c r="B42" s="3" t="s">
        <v>114</v>
      </c>
      <c r="C42" s="6">
        <v>5</v>
      </c>
    </row>
    <row r="43" spans="1:3">
      <c r="A43" s="3" t="s">
        <v>115</v>
      </c>
      <c r="B43" s="3" t="s">
        <v>116</v>
      </c>
      <c r="C43" s="6">
        <v>3</v>
      </c>
    </row>
    <row r="44" spans="1:3">
      <c r="A44" s="3" t="s">
        <v>131</v>
      </c>
      <c r="B44" s="3" t="s">
        <v>132</v>
      </c>
      <c r="C44" s="6">
        <v>7</v>
      </c>
    </row>
    <row r="45" spans="1:3">
      <c r="A45" s="3" t="s">
        <v>133</v>
      </c>
      <c r="B45" s="3" t="s">
        <v>134</v>
      </c>
      <c r="C45" s="6">
        <v>6</v>
      </c>
    </row>
    <row r="46" spans="1:3">
      <c r="A46" s="3" t="s">
        <v>135</v>
      </c>
      <c r="B46" s="3" t="s">
        <v>136</v>
      </c>
      <c r="C46" s="6">
        <v>8</v>
      </c>
    </row>
    <row r="47" spans="1:3">
      <c r="A47" s="3" t="s">
        <v>137</v>
      </c>
      <c r="B47" s="3" t="s">
        <v>138</v>
      </c>
      <c r="C47" s="6">
        <v>8</v>
      </c>
    </row>
    <row r="48" spans="1:3">
      <c r="A48" s="3" t="s">
        <v>163</v>
      </c>
      <c r="B48" s="3" t="s">
        <v>164</v>
      </c>
      <c r="C48" s="6">
        <v>7</v>
      </c>
    </row>
    <row r="49" spans="1:3">
      <c r="A49" s="3" t="s">
        <v>159</v>
      </c>
      <c r="B49" s="3" t="s">
        <v>160</v>
      </c>
      <c r="C49" s="6">
        <v>3</v>
      </c>
    </row>
    <row r="50" spans="1:3">
      <c r="A50" s="3" t="s">
        <v>161</v>
      </c>
      <c r="B50" s="3" t="s">
        <v>162</v>
      </c>
      <c r="C50" s="6">
        <v>2</v>
      </c>
    </row>
    <row r="51" spans="1:3">
      <c r="A51" s="3" t="s">
        <v>119</v>
      </c>
      <c r="B51" s="3" t="s">
        <v>120</v>
      </c>
      <c r="C51" s="6">
        <v>8</v>
      </c>
    </row>
    <row r="52" spans="1:3">
      <c r="A52" s="3" t="s">
        <v>121</v>
      </c>
      <c r="B52" s="3" t="s">
        <v>122</v>
      </c>
      <c r="C52" s="6">
        <v>9</v>
      </c>
    </row>
    <row r="53" spans="1:3">
      <c r="A53" s="3" t="s">
        <v>123</v>
      </c>
      <c r="B53" s="3" t="s">
        <v>124</v>
      </c>
      <c r="C53" s="6">
        <v>2</v>
      </c>
    </row>
    <row r="54" spans="1:3">
      <c r="A54" s="3" t="s">
        <v>125</v>
      </c>
      <c r="B54" s="3" t="s">
        <v>126</v>
      </c>
      <c r="C54" s="6">
        <v>4</v>
      </c>
    </row>
    <row r="55" spans="1:3">
      <c r="A55" s="3" t="s">
        <v>187</v>
      </c>
      <c r="B55" s="3" t="s">
        <v>188</v>
      </c>
      <c r="C55" s="6">
        <v>6</v>
      </c>
    </row>
    <row r="56" spans="1:3">
      <c r="A56" s="3" t="s">
        <v>189</v>
      </c>
      <c r="B56" s="3" t="s">
        <v>190</v>
      </c>
      <c r="C56" s="6">
        <v>4</v>
      </c>
    </row>
    <row r="57" spans="1:3">
      <c r="A57" s="3" t="s">
        <v>191</v>
      </c>
      <c r="B57" s="3" t="s">
        <v>192</v>
      </c>
      <c r="C57" s="6">
        <v>2</v>
      </c>
    </row>
    <row r="58" spans="1:3">
      <c r="A58" s="3" t="s">
        <v>193</v>
      </c>
      <c r="B58" s="3" t="s">
        <v>194</v>
      </c>
      <c r="C58" s="6">
        <v>3</v>
      </c>
    </row>
    <row r="59" spans="1:3">
      <c r="A59" s="3" t="s">
        <v>195</v>
      </c>
      <c r="B59" s="3" t="s">
        <v>196</v>
      </c>
      <c r="C59" s="6">
        <v>4</v>
      </c>
    </row>
    <row r="60" spans="1:3">
      <c r="A60" s="3" t="s">
        <v>197</v>
      </c>
      <c r="B60" s="3" t="s">
        <v>198</v>
      </c>
      <c r="C60" s="6">
        <v>7</v>
      </c>
    </row>
    <row r="61" spans="1:3">
      <c r="A61" s="3" t="s">
        <v>199</v>
      </c>
      <c r="B61" s="3" t="s">
        <v>200</v>
      </c>
      <c r="C61" s="6">
        <v>3</v>
      </c>
    </row>
    <row r="62" spans="1:3">
      <c r="A62" s="3" t="s">
        <v>201</v>
      </c>
      <c r="B62" s="3" t="s">
        <v>202</v>
      </c>
      <c r="C62" s="6">
        <v>6</v>
      </c>
    </row>
    <row r="63" spans="1:3">
      <c r="A63" s="3" t="s">
        <v>203</v>
      </c>
      <c r="B63" s="3" t="s">
        <v>204</v>
      </c>
      <c r="C63" s="6">
        <v>4</v>
      </c>
    </row>
    <row r="64" spans="1:3">
      <c r="A64" s="3" t="s">
        <v>221</v>
      </c>
      <c r="B64" s="3" t="s">
        <v>222</v>
      </c>
      <c r="C64" s="6">
        <v>5</v>
      </c>
    </row>
    <row r="65" spans="1:3">
      <c r="A65" s="3" t="s">
        <v>223</v>
      </c>
      <c r="B65" s="3" t="s">
        <v>224</v>
      </c>
      <c r="C65" s="6">
        <v>7</v>
      </c>
    </row>
    <row r="66" spans="1:3">
      <c r="A66" s="3" t="s">
        <v>225</v>
      </c>
      <c r="B66" s="3" t="s">
        <v>226</v>
      </c>
      <c r="C66" s="6">
        <v>9</v>
      </c>
    </row>
    <row r="67" spans="1:3">
      <c r="A67" s="3" t="s">
        <v>205</v>
      </c>
      <c r="B67" s="3" t="s">
        <v>206</v>
      </c>
      <c r="C67" s="6">
        <v>5</v>
      </c>
    </row>
    <row r="68" spans="1:3">
      <c r="A68" s="3" t="s">
        <v>207</v>
      </c>
      <c r="B68" s="3" t="s">
        <v>208</v>
      </c>
      <c r="C68" s="6">
        <v>7</v>
      </c>
    </row>
    <row r="69" spans="1:3">
      <c r="A69" s="3" t="s">
        <v>211</v>
      </c>
      <c r="B69" s="3" t="s">
        <v>212</v>
      </c>
      <c r="C69" s="6">
        <v>8</v>
      </c>
    </row>
    <row r="70" spans="1:3">
      <c r="A70" s="3" t="s">
        <v>213</v>
      </c>
      <c r="B70" s="3" t="s">
        <v>214</v>
      </c>
      <c r="C70" s="6">
        <v>4</v>
      </c>
    </row>
    <row r="71" spans="1:3">
      <c r="A71" s="3" t="s">
        <v>215</v>
      </c>
      <c r="B71" s="3" t="s">
        <v>216</v>
      </c>
      <c r="C71" s="6">
        <v>3</v>
      </c>
    </row>
    <row r="72" spans="1:3">
      <c r="A72" s="3" t="s">
        <v>217</v>
      </c>
      <c r="B72" s="3" t="s">
        <v>218</v>
      </c>
      <c r="C72" s="6">
        <v>7</v>
      </c>
    </row>
    <row r="73" spans="1:3">
      <c r="A73" s="3" t="s">
        <v>219</v>
      </c>
      <c r="B73" s="3" t="s">
        <v>220</v>
      </c>
      <c r="C73" s="6">
        <v>6</v>
      </c>
    </row>
    <row r="74" spans="1:3">
      <c r="A74" s="3" t="s">
        <v>243</v>
      </c>
      <c r="B74" s="3" t="s">
        <v>244</v>
      </c>
      <c r="C74" s="6">
        <v>2</v>
      </c>
    </row>
    <row r="75" spans="1:3">
      <c r="A75" s="3" t="s">
        <v>245</v>
      </c>
      <c r="B75" s="3" t="s">
        <v>246</v>
      </c>
      <c r="C75" s="6">
        <v>4</v>
      </c>
    </row>
    <row r="76" spans="1:3">
      <c r="A76" s="3" t="s">
        <v>247</v>
      </c>
      <c r="B76" s="3" t="s">
        <v>248</v>
      </c>
      <c r="C76" s="6">
        <v>7</v>
      </c>
    </row>
    <row r="77" spans="1:3">
      <c r="A77" s="3" t="s">
        <v>249</v>
      </c>
      <c r="B77" s="3" t="s">
        <v>250</v>
      </c>
      <c r="C77" s="6">
        <v>2</v>
      </c>
    </row>
    <row r="78" spans="1:3">
      <c r="A78" s="3" t="s">
        <v>251</v>
      </c>
      <c r="B78" s="3" t="s">
        <v>252</v>
      </c>
      <c r="C78" s="6">
        <v>6</v>
      </c>
    </row>
    <row r="79" spans="1:3">
      <c r="A79" s="3" t="s">
        <v>253</v>
      </c>
      <c r="B79" s="3" t="s">
        <v>254</v>
      </c>
      <c r="C79" s="6">
        <v>7</v>
      </c>
    </row>
    <row r="80" spans="1:3">
      <c r="A80" s="3" t="s">
        <v>255</v>
      </c>
      <c r="B80" s="3" t="s">
        <v>256</v>
      </c>
      <c r="C80" s="6">
        <v>7</v>
      </c>
    </row>
    <row r="81" spans="1:3">
      <c r="A81" s="3" t="s">
        <v>257</v>
      </c>
      <c r="B81" s="3" t="s">
        <v>258</v>
      </c>
      <c r="C81" s="6">
        <v>4</v>
      </c>
    </row>
    <row r="82" spans="1:3">
      <c r="A82" s="3" t="s">
        <v>259</v>
      </c>
      <c r="B82" s="3" t="s">
        <v>260</v>
      </c>
      <c r="C82" s="6">
        <v>9</v>
      </c>
    </row>
    <row r="83" spans="1:3">
      <c r="A83" s="3" t="s">
        <v>261</v>
      </c>
      <c r="B83" s="3" t="s">
        <v>262</v>
      </c>
      <c r="C83" s="6">
        <v>4</v>
      </c>
    </row>
    <row r="84" spans="1:3">
      <c r="A84" s="3" t="s">
        <v>263</v>
      </c>
      <c r="B84" s="3" t="s">
        <v>264</v>
      </c>
      <c r="C84" s="6">
        <v>8</v>
      </c>
    </row>
    <row r="85" spans="1:3">
      <c r="A85" s="3" t="s">
        <v>265</v>
      </c>
      <c r="B85" s="3" t="s">
        <v>266</v>
      </c>
      <c r="C85" s="6">
        <v>6</v>
      </c>
    </row>
    <row r="86" spans="1:3">
      <c r="A86" s="3" t="s">
        <v>267</v>
      </c>
      <c r="B86" s="3" t="s">
        <v>268</v>
      </c>
      <c r="C86" s="6">
        <v>4</v>
      </c>
    </row>
    <row r="87" spans="1:3">
      <c r="A87" s="3" t="s">
        <v>269</v>
      </c>
      <c r="B87" s="3" t="s">
        <v>270</v>
      </c>
      <c r="C87" s="6">
        <v>2</v>
      </c>
    </row>
    <row r="88" spans="1:3">
      <c r="A88" s="3" t="s">
        <v>271</v>
      </c>
      <c r="B88" s="3" t="s">
        <v>272</v>
      </c>
      <c r="C88" s="6">
        <v>5</v>
      </c>
    </row>
    <row r="89" spans="1:3">
      <c r="A89" s="3" t="s">
        <v>273</v>
      </c>
      <c r="B89" s="3" t="s">
        <v>274</v>
      </c>
      <c r="C89" s="6">
        <v>9</v>
      </c>
    </row>
    <row r="90" spans="1:3">
      <c r="A90" s="3" t="s">
        <v>275</v>
      </c>
      <c r="B90" s="3" t="s">
        <v>276</v>
      </c>
      <c r="C90" s="6">
        <v>3</v>
      </c>
    </row>
    <row r="91" spans="1:3">
      <c r="A91" s="3" t="s">
        <v>277</v>
      </c>
      <c r="B91" s="3" t="s">
        <v>278</v>
      </c>
      <c r="C91" s="6">
        <v>4</v>
      </c>
    </row>
    <row r="92" spans="1:3">
      <c r="A92" s="3" t="s">
        <v>279</v>
      </c>
      <c r="B92" s="3" t="s">
        <v>280</v>
      </c>
      <c r="C92" s="6">
        <v>3</v>
      </c>
    </row>
    <row r="93" spans="1:3">
      <c r="A93" s="3" t="s">
        <v>281</v>
      </c>
      <c r="B93" s="3" t="s">
        <v>282</v>
      </c>
      <c r="C93" s="6">
        <v>7</v>
      </c>
    </row>
    <row r="94" spans="1:3">
      <c r="A94" s="3" t="s">
        <v>283</v>
      </c>
      <c r="B94" s="3" t="s">
        <v>284</v>
      </c>
      <c r="C94" s="6">
        <v>3</v>
      </c>
    </row>
    <row r="95" spans="1:3">
      <c r="A95" s="3" t="s">
        <v>285</v>
      </c>
      <c r="B95" s="3" t="s">
        <v>286</v>
      </c>
      <c r="C95" s="6">
        <v>3</v>
      </c>
    </row>
    <row r="96" spans="1:3">
      <c r="A96" s="3" t="s">
        <v>287</v>
      </c>
      <c r="B96" s="3" t="s">
        <v>288</v>
      </c>
      <c r="C96" s="6">
        <v>4</v>
      </c>
    </row>
    <row r="97" spans="1:3">
      <c r="A97" s="3" t="s">
        <v>289</v>
      </c>
      <c r="B97" s="3" t="s">
        <v>290</v>
      </c>
      <c r="C97" s="6">
        <v>9</v>
      </c>
    </row>
    <row r="98" spans="1:3">
      <c r="A98" s="3" t="s">
        <v>291</v>
      </c>
      <c r="B98" s="3" t="s">
        <v>292</v>
      </c>
      <c r="C98" s="6">
        <v>9</v>
      </c>
    </row>
    <row r="99" spans="1:3">
      <c r="A99" s="3" t="s">
        <v>293</v>
      </c>
      <c r="B99" s="3" t="s">
        <v>294</v>
      </c>
      <c r="C99" s="6">
        <v>5</v>
      </c>
    </row>
    <row r="100" spans="1:3">
      <c r="A100" s="3" t="s">
        <v>295</v>
      </c>
      <c r="B100" s="3" t="s">
        <v>296</v>
      </c>
      <c r="C100" s="6">
        <v>4</v>
      </c>
    </row>
    <row r="101" spans="1:3">
      <c r="A101" s="3" t="s">
        <v>299</v>
      </c>
      <c r="B101" s="3" t="s">
        <v>300</v>
      </c>
      <c r="C101" s="6">
        <v>7</v>
      </c>
    </row>
    <row r="102" spans="1:3">
      <c r="A102" s="3" t="s">
        <v>301</v>
      </c>
      <c r="B102" s="3" t="s">
        <v>302</v>
      </c>
      <c r="C102" s="6">
        <v>6</v>
      </c>
    </row>
    <row r="103" spans="1:3">
      <c r="A103" s="3" t="s">
        <v>303</v>
      </c>
      <c r="B103" s="3" t="s">
        <v>304</v>
      </c>
      <c r="C103" s="6">
        <v>5</v>
      </c>
    </row>
    <row r="104" spans="1:3">
      <c r="A104" s="3" t="s">
        <v>305</v>
      </c>
      <c r="B104" s="3" t="s">
        <v>306</v>
      </c>
      <c r="C104" s="6">
        <v>2</v>
      </c>
    </row>
    <row r="105" spans="1:3">
      <c r="A105" s="3" t="s">
        <v>307</v>
      </c>
      <c r="B105" s="3" t="s">
        <v>308</v>
      </c>
      <c r="C105" s="6">
        <v>8</v>
      </c>
    </row>
    <row r="106" spans="1:3">
      <c r="A106" s="3" t="s">
        <v>309</v>
      </c>
      <c r="B106" s="3" t="s">
        <v>310</v>
      </c>
      <c r="C106" s="6">
        <v>5</v>
      </c>
    </row>
    <row r="107" spans="1:3">
      <c r="A107" s="3" t="s">
        <v>311</v>
      </c>
      <c r="B107" s="3" t="s">
        <v>312</v>
      </c>
      <c r="C107" s="6">
        <v>9</v>
      </c>
    </row>
    <row r="108" spans="1:3">
      <c r="A108" s="3" t="s">
        <v>313</v>
      </c>
      <c r="B108" s="3" t="s">
        <v>314</v>
      </c>
      <c r="C108" s="6">
        <v>9</v>
      </c>
    </row>
    <row r="109" spans="1:3">
      <c r="A109" s="3" t="s">
        <v>315</v>
      </c>
      <c r="B109" s="3" t="s">
        <v>316</v>
      </c>
      <c r="C109" s="6">
        <v>8</v>
      </c>
    </row>
    <row r="110" spans="1:3">
      <c r="A110" s="3" t="s">
        <v>317</v>
      </c>
      <c r="B110" s="3" t="s">
        <v>318</v>
      </c>
      <c r="C110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G.L &amp; V.P</vt:lpstr>
      <vt:lpstr>SUPPLY G.L</vt:lpstr>
      <vt:lpstr>SUPPLY V.P</vt:lpstr>
      <vt:lpstr>MAIN G.L</vt:lpstr>
      <vt:lpstr>RETURN MAIN G.L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</cp:lastModifiedBy>
  <dcterms:modified xsi:type="dcterms:W3CDTF">2025-11-14T09:45:24Z</dcterms:modified>
</cp:coreProperties>
</file>